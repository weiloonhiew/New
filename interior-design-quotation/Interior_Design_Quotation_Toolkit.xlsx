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sheetId="1" state="visible" r:id="rId1"/>
    <sheet name="Price Catalog" sheetId="2" state="visible" r:id="rId2"/>
    <sheet name="Quotation Template" sheetId="3" state="visible" r:id="rId3"/>
  </sheets>
  <definedNames>
    <definedName name="Desc_Professional_Services">'Price Catalog'!$B$5:$B$11</definedName>
    <definedName name="Unit_Professional_Services">'Price Catalog'!$C$5:$C$11</definedName>
    <definedName name="Sell_Professional_Services">'Price Catalog'!$F$5:$F$11</definedName>
    <definedName name="Desc_Preliminaries_Works">'Price Catalog'!$B$12:$B$16</definedName>
    <definedName name="Unit_Preliminaries_Works">'Price Catalog'!$C$12:$C$16</definedName>
    <definedName name="Sell_Preliminaries_Works">'Price Catalog'!$F$12:$F$16</definedName>
    <definedName name="Desc_Remodeling_Works_Hacking_Works">'Price Catalog'!$B$17:$B$27</definedName>
    <definedName name="Unit_Remodeling_Works_Hacking_Works">'Price Catalog'!$C$17:$C$27</definedName>
    <definedName name="Sell_Remodeling_Works_Hacking_Works">'Price Catalog'!$F$17:$F$27</definedName>
    <definedName name="Desc_Plumbing_Works">'Price Catalog'!$B$28:$B$33</definedName>
    <definedName name="Unit_Plumbing_Works">'Price Catalog'!$C$28:$C$33</definedName>
    <definedName name="Sell_Plumbing_Works">'Price Catalog'!$F$28:$F$33</definedName>
    <definedName name="Desc_Masonry_Works">'Price Catalog'!$B$34:$B$38</definedName>
    <definedName name="Unit_Masonry_Works">'Price Catalog'!$C$34:$C$38</definedName>
    <definedName name="Sell_Masonry_Works">'Price Catalog'!$F$34:$F$38</definedName>
    <definedName name="Desc_Waterproofing_Works">'Price Catalog'!$B$39:$B$41</definedName>
    <definedName name="Unit_Waterproofing_Works">'Price Catalog'!$C$39:$C$41</definedName>
    <definedName name="Sell_Waterproofing_Works">'Price Catalog'!$F$39:$F$41</definedName>
    <definedName name="Desc_Plasterceil_Works">'Price Catalog'!$B$42:$B$45</definedName>
    <definedName name="Unit_Plasterceil_Works">'Price Catalog'!$C$42:$C$45</definedName>
    <definedName name="Sell_Plasterceil_Works">'Price Catalog'!$F$42:$F$45</definedName>
    <definedName name="Desc_Plastering_Works">'Price Catalog'!$B$46:$B$47</definedName>
    <definedName name="Unit_Plastering_Works">'Price Catalog'!$C$46:$C$47</definedName>
    <definedName name="Sell_Plastering_Works">'Price Catalog'!$F$46:$F$47</definedName>
    <definedName name="Desc_Painting_Works">'Price Catalog'!$B$48:$B$51</definedName>
    <definedName name="Unit_Painting_Works">'Price Catalog'!$C$48:$C$51</definedName>
    <definedName name="Sell_Painting_Works">'Price Catalog'!$F$48:$F$51</definedName>
    <definedName name="Desc_Glass_Works">'Price Catalog'!$B$52:$B$54</definedName>
    <definedName name="Unit_Glass_Works">'Price Catalog'!$C$52:$C$54</definedName>
    <definedName name="Sell_Glass_Works">'Price Catalog'!$F$52:$F$54</definedName>
    <definedName name="Desc_Aluminium_And_Steel_Works">'Price Catalog'!$B$55:$B$58</definedName>
    <definedName name="Unit_Aluminium_And_Steel_Works">'Price Catalog'!$C$55:$C$58</definedName>
    <definedName name="Sell_Aluminium_And_Steel_Works">'Price Catalog'!$F$55:$F$58</definedName>
    <definedName name="Desc_Carpentry_Works">'Price Catalog'!$B$59:$B$64</definedName>
    <definedName name="Unit_Carpentry_Works">'Price Catalog'!$C$59:$C$64</definedName>
    <definedName name="Sell_Carpentry_Works">'Price Catalog'!$F$59:$F$64</definedName>
    <definedName name="Desc_Work_And_Service_Top">'Price Catalog'!$B$65:$B$67</definedName>
    <definedName name="Unit_Work_And_Service_Top">'Price Catalog'!$C$65:$C$67</definedName>
    <definedName name="Sell_Work_And_Service_Top">'Price Catalog'!$F$65:$F$67</definedName>
    <definedName name="Desc_Electrical_Works">'Price Catalog'!$B$68:$B$76</definedName>
    <definedName name="Unit_Electrical_Works">'Price Catalog'!$C$68:$C$76</definedName>
    <definedName name="Sell_Electrical_Works">'Price Catalog'!$F$68:$F$76</definedName>
    <definedName name="Desc_Flooring_Works">'Price Catalog'!$B$77:$B$79</definedName>
    <definedName name="Unit_Flooring_Works">'Price Catalog'!$C$77:$C$79</definedName>
    <definedName name="Sell_Flooring_Works">'Price Catalog'!$F$77:$F$79</definedName>
    <definedName name="Desc_Aircon_Works">'Price Catalog'!$B$80:$B$81</definedName>
    <definedName name="Unit_Aircon_Works">'Price Catalog'!$C$80:$C$81</definedName>
    <definedName name="Sell_Aircon_Works">'Price Catalog'!$F$80:$F$81</definedName>
    <definedName name="Desc_Miscellaneous_Works">'Price Catalog'!$B$82:$B$84</definedName>
    <definedName name="Unit_Miscellaneous_Works">'Price Catalog'!$C$82:$C$84</definedName>
    <definedName name="Sell_Miscellaneous_Works">'Price Catalog'!$F$82:$F$84</definedName>
    <definedName name="_xlnm.Print_Area" localSheetId="1">'Price Catalog'!$A$1:$F$84</definedName>
    <definedName name="_xlnm.Print_Area" localSheetId="2">'Quotation Template'!$A$1:$F$198</definedName>
  </definedNames>
  <calcPr calcId="124519" fullCalcOnLoad="1"/>
</workbook>
</file>

<file path=xl/styles.xml><?xml version="1.0" encoding="utf-8"?>
<styleSheet xmlns="http://schemas.openxmlformats.org/spreadsheetml/2006/main">
  <numFmts count="1">
    <numFmt numFmtId="164" formatCode="0.0%"/>
  </numFmts>
  <fonts count="22">
    <font>
      <name val="Calibri"/>
      <family val="2"/>
      <color theme="1"/>
      <sz val="11"/>
      <scheme val="minor"/>
    </font>
    <font>
      <name val="Arial"/>
      <b val="1"/>
      <color rgb="001F3864"/>
      <sz val="18"/>
    </font>
    <font>
      <name val="Arial"/>
      <color rgb="00000000"/>
      <sz val="11"/>
    </font>
    <font>
      <name val="Arial"/>
      <b val="1"/>
      <color rgb="001F3864"/>
      <sz val="13"/>
    </font>
    <font>
      <name val="Arial"/>
      <b val="1"/>
      <color rgb="001F3864"/>
      <sz val="16"/>
    </font>
    <font>
      <name val="Arial"/>
      <i val="1"/>
      <color rgb="00595959"/>
      <sz val="10"/>
    </font>
    <font>
      <name val="Arial"/>
      <b val="1"/>
      <color rgb="00FFFFFF"/>
      <sz val="11"/>
    </font>
    <font>
      <name val="Arial"/>
      <color rgb="00595959"/>
      <sz val="10"/>
    </font>
    <font>
      <name val="Arial"/>
      <sz val="10"/>
    </font>
    <font>
      <name val="Arial"/>
      <color rgb="000000FF"/>
      <sz val="10"/>
    </font>
    <font>
      <name val="Arial"/>
      <b val="1"/>
      <sz val="10"/>
    </font>
    <font>
      <name val="Arial"/>
      <i val="1"/>
      <color rgb="00595959"/>
      <sz val="9"/>
    </font>
    <font>
      <name val="Arial"/>
      <b val="1"/>
      <color rgb="00FFFFFF"/>
      <sz val="16"/>
    </font>
    <font>
      <name val="Arial"/>
      <i val="1"/>
      <sz val="9"/>
    </font>
    <font>
      <name val="Arial"/>
      <color rgb="00808080"/>
      <sz val="9"/>
    </font>
    <font>
      <name val="Arial"/>
      <b val="1"/>
      <color rgb="00000000"/>
      <sz val="10"/>
    </font>
    <font>
      <name val="Arial"/>
      <color rgb="00000000"/>
      <sz val="10"/>
    </font>
    <font>
      <name val="Arial"/>
      <b val="1"/>
      <sz val="12"/>
    </font>
    <font>
      <name val="Arial"/>
      <b val="1"/>
      <color rgb="00000000"/>
      <sz val="12"/>
    </font>
    <font>
      <name val="Arial"/>
      <b val="1"/>
      <color rgb="001F3864"/>
      <sz val="12"/>
    </font>
    <font>
      <name val="Arial"/>
      <sz val="9"/>
    </font>
    <font>
      <name val="Arial"/>
      <b val="1"/>
      <sz val="9"/>
    </font>
  </fonts>
  <fills count="7">
    <fill>
      <patternFill/>
    </fill>
    <fill>
      <patternFill patternType="gray125"/>
    </fill>
    <fill>
      <patternFill patternType="solid">
        <fgColor rgb="001F3864"/>
      </patternFill>
    </fill>
    <fill>
      <patternFill patternType="solid">
        <fgColor rgb="00FFFF00"/>
      </patternFill>
    </fill>
    <fill>
      <patternFill patternType="solid">
        <fgColor rgb="00F2F2F2"/>
      </patternFill>
    </fill>
    <fill>
      <patternFill patternType="solid">
        <fgColor rgb="00C9A24B"/>
      </patternFill>
    </fill>
    <fill>
      <patternFill patternType="solid">
        <fgColor rgb="00DCE6F1"/>
      </patternFill>
    </fill>
  </fills>
  <borders count="6">
    <border>
      <left/>
      <right/>
      <top/>
      <bottom/>
      <diagonal/>
    </border>
    <border>
      <left style="thin">
        <color rgb="00BFBFBF"/>
      </left>
      <right style="thin">
        <color rgb="00BFBFBF"/>
      </right>
      <top style="thin">
        <color rgb="00BFBFBF"/>
      </top>
      <bottom style="thin">
        <color rgb="00BFBFBF"/>
      </bottom>
    </border>
    <border>
      <bottom style="thin">
        <color rgb="00000000"/>
      </bottom>
    </border>
    <border>
      <left/>
      <right/>
      <top/>
      <bottom style="thin">
        <color rgb="00000000"/>
      </bottom>
      <diagonal/>
    </border>
    <border>
      <bottom style="hair">
        <color rgb="00D9D9D9"/>
      </bottom>
    </border>
    <border>
      <top style="thin">
        <color rgb="00000000"/>
      </top>
      <bottom style="double">
        <color rgb="00000000"/>
      </bottom>
    </border>
  </borders>
  <cellStyleXfs count="1">
    <xf numFmtId="0" fontId="0" fillId="0" borderId="0"/>
  </cellStyleXfs>
  <cellXfs count="45">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horizontal="left" vertical="center"/>
    </xf>
    <xf numFmtId="0" fontId="5" fillId="0" borderId="0" pivotButton="0" quotePrefix="0" xfId="0"/>
    <xf numFmtId="0" fontId="6" fillId="2" borderId="1" applyAlignment="1" pivotButton="0" quotePrefix="0" xfId="0">
      <alignment horizontal="center" vertical="center" wrapText="1"/>
    </xf>
    <xf numFmtId="0" fontId="7" fillId="0" borderId="1" pivotButton="0" quotePrefix="0" xfId="0"/>
    <xf numFmtId="0" fontId="8" fillId="0" borderId="1" pivotButton="0" quotePrefix="0" xfId="0"/>
    <xf numFmtId="4" fontId="9" fillId="0" borderId="1" pivotButton="0" quotePrefix="0" xfId="0"/>
    <xf numFmtId="9" fontId="9" fillId="3" borderId="1" pivotButton="0" quotePrefix="0" xfId="0"/>
    <xf numFmtId="4" fontId="10" fillId="0" borderId="1" pivotButton="0" quotePrefix="0" xfId="0"/>
    <xf numFmtId="0" fontId="7" fillId="4" borderId="1" pivotButton="0" quotePrefix="0" xfId="0"/>
    <xf numFmtId="0" fontId="8" fillId="4" borderId="1" pivotButton="0" quotePrefix="0" xfId="0"/>
    <xf numFmtId="4" fontId="9" fillId="4" borderId="1" pivotButton="0" quotePrefix="0" xfId="0"/>
    <xf numFmtId="9" fontId="9" fillId="4" borderId="1" pivotButton="0" quotePrefix="0" xfId="0"/>
    <xf numFmtId="4" fontId="10" fillId="4" borderId="1" pivotButton="0" quotePrefix="0" xfId="0"/>
    <xf numFmtId="0" fontId="1" fillId="0" borderId="0" pivotButton="0" quotePrefix="0" xfId="0"/>
    <xf numFmtId="0" fontId="10" fillId="0" borderId="0" applyAlignment="1" pivotButton="0" quotePrefix="0" xfId="0">
      <alignment horizontal="right"/>
    </xf>
    <xf numFmtId="0" fontId="11" fillId="0" borderId="0" pivotButton="0" quotePrefix="0" xfId="0"/>
    <xf numFmtId="0" fontId="10" fillId="0" borderId="0" applyAlignment="1" pivotButton="0" quotePrefix="0" xfId="0">
      <alignment horizontal="left" vertical="center"/>
    </xf>
    <xf numFmtId="0" fontId="9" fillId="0" borderId="2" applyAlignment="1" pivotButton="0" quotePrefix="0" xfId="0">
      <alignment horizontal="left" vertical="center"/>
    </xf>
    <xf numFmtId="0" fontId="0" fillId="0" borderId="3" pivotButton="0" quotePrefix="0" xfId="0"/>
    <xf numFmtId="0" fontId="12" fillId="2" borderId="0" applyAlignment="1" pivotButton="0" quotePrefix="0" xfId="0">
      <alignment horizontal="center" vertical="center"/>
    </xf>
    <xf numFmtId="0" fontId="13" fillId="0" borderId="0" pivotButton="0" quotePrefix="0" xfId="0"/>
    <xf numFmtId="0" fontId="6" fillId="5" borderId="0" applyAlignment="1" pivotButton="0" quotePrefix="0" xfId="0">
      <alignment horizontal="left" vertical="center" indent="1"/>
    </xf>
    <xf numFmtId="0" fontId="14" fillId="0" borderId="4" applyAlignment="1" pivotButton="0" quotePrefix="0" xfId="0">
      <alignment horizontal="center"/>
    </xf>
    <xf numFmtId="0" fontId="9" fillId="0" borderId="4" pivotButton="0" quotePrefix="0" xfId="0"/>
    <xf numFmtId="0" fontId="8" fillId="0" borderId="4" applyAlignment="1" pivotButton="0" quotePrefix="0" xfId="0">
      <alignment horizontal="center"/>
    </xf>
    <xf numFmtId="0" fontId="9" fillId="0" borderId="4" applyAlignment="1" pivotButton="0" quotePrefix="0" xfId="0">
      <alignment horizontal="center"/>
    </xf>
    <xf numFmtId="4" fontId="8" fillId="0" borderId="4" pivotButton="0" quotePrefix="0" xfId="0"/>
    <xf numFmtId="0" fontId="10" fillId="0" borderId="0" applyAlignment="1" pivotButton="0" quotePrefix="0" xfId="0">
      <alignment horizontal="right" vertical="center"/>
    </xf>
    <xf numFmtId="4" fontId="10" fillId="0" borderId="5" pivotButton="0" quotePrefix="0" xfId="0"/>
    <xf numFmtId="4" fontId="15" fillId="0" borderId="0" pivotButton="0" quotePrefix="0" xfId="0"/>
    <xf numFmtId="0" fontId="8" fillId="3" borderId="0" applyAlignment="1" pivotButton="0" quotePrefix="0" xfId="0">
      <alignment horizontal="right" vertical="center"/>
    </xf>
    <xf numFmtId="0" fontId="0" fillId="3" borderId="0" pivotButton="0" quotePrefix="0" xfId="0"/>
    <xf numFmtId="164" fontId="9" fillId="3" borderId="0" pivotButton="0" quotePrefix="0" xfId="0"/>
    <xf numFmtId="0" fontId="8" fillId="0" borderId="0" applyAlignment="1" pivotButton="0" quotePrefix="0" xfId="0">
      <alignment horizontal="right" vertical="center"/>
    </xf>
    <xf numFmtId="4" fontId="16" fillId="0" borderId="0" pivotButton="0" quotePrefix="0" xfId="0"/>
    <xf numFmtId="0" fontId="17" fillId="6" borderId="0" applyAlignment="1" pivotButton="0" quotePrefix="0" xfId="0">
      <alignment horizontal="right" vertical="center"/>
    </xf>
    <xf numFmtId="0" fontId="0" fillId="6" borderId="0" pivotButton="0" quotePrefix="0" xfId="0"/>
    <xf numFmtId="4" fontId="18" fillId="6" borderId="0" pivotButton="0" quotePrefix="0" xfId="0"/>
    <xf numFmtId="0" fontId="19" fillId="0" borderId="0" pivotButton="0" quotePrefix="0" xfId="0"/>
    <xf numFmtId="0" fontId="20" fillId="0" borderId="0" applyAlignment="1" pivotButton="0" quotePrefix="0" xfId="0">
      <alignment vertical="top" wrapText="1"/>
    </xf>
    <xf numFmtId="0" fontId="2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7"/>
  <sheetViews>
    <sheetView showGridLines="0" workbookViewId="0">
      <selection activeCell="A1" sqref="A1"/>
    </sheetView>
  </sheetViews>
  <sheetFormatPr baseColWidth="8" defaultRowHeight="15"/>
  <cols>
    <col width="100" customWidth="1" min="1" max="1"/>
  </cols>
  <sheetData>
    <row r="1">
      <c r="A1" s="1" t="inlineStr">
        <is>
          <t>Interior Design Quotation Toolkit</t>
        </is>
      </c>
    </row>
    <row r="3">
      <c r="A3" s="2" t="inlineStr">
        <is>
          <t>Built from the pricing patterns in your own past contracts, so you stop re-typing and re-pricing every project from scratch.</t>
        </is>
      </c>
    </row>
    <row r="5">
      <c r="A5" s="3" t="inlineStr">
        <is>
          <t>How this workbook is organised</t>
        </is>
      </c>
    </row>
    <row r="7">
      <c r="A7" s="2" t="inlineStr">
        <is>
          <t>1.  Price Catalog  -  your master list of reusable line items: category, description, unit, cost price, markup %, and the resulting selling price. This is the list you keep up to date as supplier prices change. Add new rows any time; keep each category's rows together (no gaps) so the dropdowns below keep working.</t>
        </is>
      </c>
    </row>
    <row r="9">
      <c r="A9" s="2" t="inlineStr">
        <is>
          <t>2.  Quotation Template  -  a client-ready quotation laid out like your existing contracts (company header, client details, numbered work sections, subtotals, discount, 9% GST, grand total, payment terms and T&amp;Cs). For each project, duplicate this sheet (right-click the tab -&gt; Move or Copy -&gt; Create a copy) and fill in the copy, keeping the template blank for next time.</t>
        </is>
      </c>
    </row>
    <row r="11">
      <c r="A11" s="3" t="inlineStr">
        <is>
          <t>Using the Quotation Template for a new project</t>
        </is>
      </c>
    </row>
    <row r="13">
      <c r="A13" s="2" t="inlineStr">
        <is>
          <t>1.  Fill in the client &amp; site details at the top.</t>
        </is>
      </c>
    </row>
    <row r="15">
      <c r="A15" s="2" t="inlineStr">
        <is>
          <t>2.  Under each section (e.g. "3. Remodeling Works"), click a Description cell and pick an item from the dropdown - it is filtered to that section's category automatically. Unit and Unit Price fill in by themselves from the Price Catalog.</t>
        </is>
      </c>
    </row>
    <row r="17">
      <c r="A17" s="2" t="inlineStr">
        <is>
          <t>3.  Type the Quantity. The Amount and the section Subtotal update automatically.</t>
        </is>
      </c>
    </row>
    <row r="19">
      <c r="A19" s="2" t="inlineStr">
        <is>
          <t>4.  Need an item that is not in the catalog yet? Type it directly into the Description cell (the dropdown will warn but still let you type), then fill in Unit and Unit Price by hand. Consider adding it to the Price Catalog afterwards so it is available next time.</t>
        </is>
      </c>
    </row>
    <row r="21">
      <c r="A21" s="2" t="inlineStr">
        <is>
          <t>5.  Leave unused item rows blank - they contribute $0 and will not show on the printed PDF if you set the print area to exclude blank rows, or simply hide those rows before exporting.</t>
        </is>
      </c>
    </row>
    <row r="23">
      <c r="A23" s="2" t="inlineStr">
        <is>
          <t>6.  Adjust the Discount % and GST Rate cells near the bottom if needed (GST defaults to 9%, current Singapore standard rate).</t>
        </is>
      </c>
    </row>
    <row r="25">
      <c r="A25" s="2" t="inlineStr">
        <is>
          <t>7.  Review the Payment Terms and Terms &amp; Conditions block - edit anything project-specific, then delete this instruction line.</t>
        </is>
      </c>
    </row>
    <row r="27">
      <c r="A27" s="3" t="inlineStr">
        <is>
          <t>Exporting to PDF for your client</t>
        </is>
      </c>
    </row>
    <row r="29">
      <c r="A29" s="2" t="inlineStr">
        <is>
          <t>File -&gt; Print Area -&gt; confirm it covers your filled rows only, then File -&gt; Save As -&gt; PDF (or Print -&gt; Microsoft/PDF Printer). Page breaks are pre-set to land between sections where possible.</t>
        </is>
      </c>
    </row>
    <row r="31">
      <c r="A31" s="3" t="inlineStr">
        <is>
          <t>Notes</t>
        </is>
      </c>
    </row>
    <row r="33">
      <c r="A33" s="2" t="inlineStr">
        <is>
          <t>- Grounded pricing: the starting costs in the Price Catalog are median values pulled from 8 of your actual past contracts (HDB, condo and landed projects), not guesses. Treat them as a starting point and correct anything that has since changed.</t>
        </is>
      </c>
    </row>
    <row r="35">
      <c r="A35" s="2" t="inlineStr">
        <is>
          <t>- Markup: every project you supplied used a consistent 25% selling markup (cost / (1 - 25%)). That is the catalog default - change the Markup % column per item if a project needs a different margin.</t>
        </is>
      </c>
    </row>
    <row r="37">
      <c r="A37" s="2" t="inlineStr">
        <is>
          <t>- Colour code: blue text = a cell you are meant to type into. Black text = a formula - leave it alone unless you are intentionally overriding it.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84"/>
  <sheetViews>
    <sheetView showGridLines="0" workbookViewId="0">
      <pane ySplit="4" topLeftCell="A5" activePane="bottomLeft" state="frozen"/>
      <selection pane="bottomLeft" activeCell="A1" sqref="A1"/>
    </sheetView>
  </sheetViews>
  <sheetFormatPr baseColWidth="8" defaultRowHeight="15"/>
  <cols>
    <col width="30" customWidth="1" min="1" max="1"/>
    <col width="52" customWidth="1" min="2" max="2"/>
    <col width="12" customWidth="1" min="3" max="3"/>
    <col width="14" customWidth="1" min="4" max="4"/>
    <col width="12" customWidth="1" min="5" max="5"/>
    <col width="16" customWidth="1" min="6" max="6"/>
  </cols>
  <sheetData>
    <row r="1" ht="26" customHeight="1">
      <c r="A1" s="4" t="inlineStr">
        <is>
          <t>PRICE CATALOG - Master Item List</t>
        </is>
      </c>
    </row>
    <row r="2">
      <c r="A2" s="5" t="inlineStr">
        <is>
          <t>Edit Cost Price / Markup % below - Selling Price recalculates automatically. Keep each category's rows contiguous (needed for the Quotation dropdowns).</t>
        </is>
      </c>
    </row>
    <row r="4" ht="30" customHeight="1">
      <c r="A4" s="6" t="inlineStr">
        <is>
          <t>Category</t>
        </is>
      </c>
      <c r="B4" s="6" t="inlineStr">
        <is>
          <t>Description</t>
        </is>
      </c>
      <c r="C4" s="6" t="inlineStr">
        <is>
          <t>Unit</t>
        </is>
      </c>
      <c r="D4" s="6" t="inlineStr">
        <is>
          <t>Cost Price (S$)</t>
        </is>
      </c>
      <c r="E4" s="6" t="inlineStr">
        <is>
          <t>Markup %</t>
        </is>
      </c>
      <c r="F4" s="6" t="inlineStr">
        <is>
          <t>Selling Price (S$)</t>
        </is>
      </c>
    </row>
    <row r="5">
      <c r="A5" s="7" t="inlineStr">
        <is>
          <t>Professional Services</t>
        </is>
      </c>
      <c r="B5" s="8" t="inlineStr">
        <is>
          <t>Site measurement &amp; detailed floor plan</t>
        </is>
      </c>
      <c r="C5" s="8" t="inlineStr">
        <is>
          <t>Lot</t>
        </is>
      </c>
      <c r="D5" s="9" t="n">
        <v>0</v>
      </c>
      <c r="E5" s="10" t="n">
        <v>0.25</v>
      </c>
      <c r="F5" s="11">
        <f>IFERROR(D5/(1-E5),0)</f>
        <v/>
      </c>
    </row>
    <row r="6">
      <c r="A6" s="12" t="inlineStr">
        <is>
          <t>Professional Services</t>
        </is>
      </c>
      <c r="B6" s="13" t="inlineStr">
        <is>
          <t>Furniture layout plan</t>
        </is>
      </c>
      <c r="C6" s="13" t="inlineStr">
        <is>
          <t>Lot</t>
        </is>
      </c>
      <c r="D6" s="14" t="n">
        <v>0</v>
      </c>
      <c r="E6" s="15" t="n">
        <v>0.25</v>
      </c>
      <c r="F6" s="16">
        <f>IFERROR(D6/(1-E6),0)</f>
        <v/>
      </c>
    </row>
    <row r="7">
      <c r="A7" s="7" t="inlineStr">
        <is>
          <t>Professional Services</t>
        </is>
      </c>
      <c r="B7" s="8" t="inlineStr">
        <is>
          <t>Electrical lighting &amp; outlet layout plan</t>
        </is>
      </c>
      <c r="C7" s="8" t="inlineStr">
        <is>
          <t>Lot</t>
        </is>
      </c>
      <c r="D7" s="9" t="n">
        <v>0</v>
      </c>
      <c r="E7" s="10" t="n">
        <v>0.25</v>
      </c>
      <c r="F7" s="11">
        <f>IFERROR(D7/(1-E7),0)</f>
        <v/>
      </c>
    </row>
    <row r="8">
      <c r="A8" s="12" t="inlineStr">
        <is>
          <t>Professional Services</t>
        </is>
      </c>
      <c r="B8" s="13" t="inlineStr">
        <is>
          <t>Design concept development (colour scheme, theme, finishes)</t>
        </is>
      </c>
      <c r="C8" s="13" t="inlineStr">
        <is>
          <t>Lot</t>
        </is>
      </c>
      <c r="D8" s="14" t="n">
        <v>0</v>
      </c>
      <c r="E8" s="15" t="n">
        <v>0.25</v>
      </c>
      <c r="F8" s="16">
        <f>IFERROR(D8/(1-E8),0)</f>
        <v/>
      </c>
    </row>
    <row r="9">
      <c r="A9" s="7" t="inlineStr">
        <is>
          <t>Professional Services</t>
        </is>
      </c>
      <c r="B9" s="8" t="inlineStr">
        <is>
          <t>3D rendered perspective drawing (per view)</t>
        </is>
      </c>
      <c r="C9" s="8" t="inlineStr">
        <is>
          <t>Nos</t>
        </is>
      </c>
      <c r="D9" s="9" t="n">
        <v>0</v>
      </c>
      <c r="E9" s="10" t="n">
        <v>0.25</v>
      </c>
      <c r="F9" s="11">
        <f>IFERROR(D9/(1-E9),0)</f>
        <v/>
      </c>
    </row>
    <row r="10">
      <c r="A10" s="12" t="inlineStr">
        <is>
          <t>Professional Services</t>
        </is>
      </c>
      <c r="B10" s="13" t="inlineStr">
        <is>
          <t>Coordination with Professional Engineer / renovation loan banker</t>
        </is>
      </c>
      <c r="C10" s="13" t="inlineStr">
        <is>
          <t>Lot</t>
        </is>
      </c>
      <c r="D10" s="14" t="n">
        <v>0</v>
      </c>
      <c r="E10" s="15" t="n">
        <v>0.25</v>
      </c>
      <c r="F10" s="16">
        <f>IFERROR(D10/(1-E10),0)</f>
        <v/>
      </c>
    </row>
    <row r="11">
      <c r="A11" s="7" t="inlineStr">
        <is>
          <t>Professional Services</t>
        </is>
      </c>
      <c r="B11" s="8" t="inlineStr">
        <is>
          <t>Interior design &amp; project management fee</t>
        </is>
      </c>
      <c r="C11" s="8" t="inlineStr">
        <is>
          <t>Lot</t>
        </is>
      </c>
      <c r="D11" s="9" t="n">
        <v>0</v>
      </c>
      <c r="E11" s="10" t="n">
        <v>0.25</v>
      </c>
      <c r="F11" s="11">
        <f>IFERROR(D11/(1-E11),0)</f>
        <v/>
      </c>
    </row>
    <row r="12">
      <c r="A12" s="12" t="inlineStr">
        <is>
          <t>Preliminaries Works</t>
        </is>
      </c>
      <c r="B12" s="13" t="inlineStr">
        <is>
          <t>Purchasing / uplifting of concrete and plaster sand</t>
        </is>
      </c>
      <c r="C12" s="13" t="inlineStr">
        <is>
          <t>Lot</t>
        </is>
      </c>
      <c r="D12" s="14" t="n">
        <v>150</v>
      </c>
      <c r="E12" s="15" t="n">
        <v>0.25</v>
      </c>
      <c r="F12" s="16">
        <f>IFERROR(D12/(1-E12),0)</f>
        <v/>
      </c>
    </row>
    <row r="13">
      <c r="A13" s="7" t="inlineStr">
        <is>
          <t>Preliminaries Works</t>
        </is>
      </c>
      <c r="B13" s="8" t="inlineStr">
        <is>
          <t>Labour to uplift building materials / tiles / stones</t>
        </is>
      </c>
      <c r="C13" s="8" t="inlineStr">
        <is>
          <t>Lot</t>
        </is>
      </c>
      <c r="D13" s="9" t="n">
        <v>350</v>
      </c>
      <c r="E13" s="10" t="n">
        <v>0.25</v>
      </c>
      <c r="F13" s="11">
        <f>IFERROR(D13/(1-E13),0)</f>
        <v/>
      </c>
    </row>
    <row r="14">
      <c r="A14" s="12" t="inlineStr">
        <is>
          <t>Preliminaries Works</t>
        </is>
      </c>
      <c r="B14" s="13" t="inlineStr">
        <is>
          <t>Lay protective corrugated paper on flooring</t>
        </is>
      </c>
      <c r="C14" s="13" t="inlineStr">
        <is>
          <t>Lot</t>
        </is>
      </c>
      <c r="D14" s="14" t="n">
        <v>200</v>
      </c>
      <c r="E14" s="15" t="n">
        <v>0.25</v>
      </c>
      <c r="F14" s="16">
        <f>IFERROR(D14/(1-E14),0)</f>
        <v/>
      </c>
    </row>
    <row r="15">
      <c r="A15" s="7" t="inlineStr">
        <is>
          <t>Preliminaries Works</t>
        </is>
      </c>
      <c r="B15" s="8" t="inlineStr">
        <is>
          <t>Debris clearance &amp; disposal (haulage)</t>
        </is>
      </c>
      <c r="C15" s="8" t="inlineStr">
        <is>
          <t>Lot</t>
        </is>
      </c>
      <c r="D15" s="9" t="n">
        <v>350</v>
      </c>
      <c r="E15" s="10" t="n">
        <v>0.25</v>
      </c>
      <c r="F15" s="11">
        <f>IFERROR(D15/(1-E15),0)</f>
        <v/>
      </c>
    </row>
    <row r="16">
      <c r="A16" s="12" t="inlineStr">
        <is>
          <t>Preliminaries Works</t>
        </is>
      </c>
      <c r="B16" s="13" t="inlineStr">
        <is>
          <t>Renovation permit application (HDB / MCST)</t>
        </is>
      </c>
      <c r="C16" s="13" t="inlineStr">
        <is>
          <t>Lot</t>
        </is>
      </c>
      <c r="D16" s="14" t="n">
        <v>150</v>
      </c>
      <c r="E16" s="15" t="n">
        <v>0.25</v>
      </c>
      <c r="F16" s="16">
        <f>IFERROR(D16/(1-E16),0)</f>
        <v/>
      </c>
    </row>
    <row r="17">
      <c r="A17" s="7" t="inlineStr">
        <is>
          <t>Remodeling Works (Hacking Works)</t>
        </is>
      </c>
      <c r="B17" s="8" t="inlineStr">
        <is>
          <t>Dismantle existing door &amp; door frame</t>
        </is>
      </c>
      <c r="C17" s="8" t="inlineStr">
        <is>
          <t>Nos</t>
        </is>
      </c>
      <c r="D17" s="9" t="n">
        <v>80</v>
      </c>
      <c r="E17" s="10" t="n">
        <v>0.25</v>
      </c>
      <c r="F17" s="11">
        <f>IFERROR(D17/(1-E17),0)</f>
        <v/>
      </c>
    </row>
    <row r="18">
      <c r="A18" s="12" t="inlineStr">
        <is>
          <t>Remodeling Works (Hacking Works)</t>
        </is>
      </c>
      <c r="B18" s="13" t="inlineStr">
        <is>
          <t>Dismantle full height cabinet / wardrobe</t>
        </is>
      </c>
      <c r="C18" s="13" t="inlineStr">
        <is>
          <t>Nos</t>
        </is>
      </c>
      <c r="D18" s="14" t="n">
        <v>150</v>
      </c>
      <c r="E18" s="15" t="n">
        <v>0.25</v>
      </c>
      <c r="F18" s="16">
        <f>IFERROR(D18/(1-E18),0)</f>
        <v/>
      </c>
    </row>
    <row r="19">
      <c r="A19" s="7" t="inlineStr">
        <is>
          <t>Remodeling Works (Hacking Works)</t>
        </is>
      </c>
      <c r="B19" s="8" t="inlineStr">
        <is>
          <t>Dismantle TV console / cabinet (top &amp; bottom)</t>
        </is>
      </c>
      <c r="C19" s="8" t="inlineStr">
        <is>
          <t>Nos</t>
        </is>
      </c>
      <c r="D19" s="9" t="n">
        <v>120</v>
      </c>
      <c r="E19" s="10" t="n">
        <v>0.25</v>
      </c>
      <c r="F19" s="11">
        <f>IFERROR(D19/(1-E19),0)</f>
        <v/>
      </c>
    </row>
    <row r="20">
      <c r="A20" s="12" t="inlineStr">
        <is>
          <t>Remodeling Works (Hacking Works)</t>
        </is>
      </c>
      <c r="B20" s="13" t="inlineStr">
        <is>
          <t>Dismantle kitchen cabinet (top &amp; bottom)</t>
        </is>
      </c>
      <c r="C20" s="13" t="inlineStr">
        <is>
          <t>Lot</t>
        </is>
      </c>
      <c r="D20" s="14" t="n">
        <v>300</v>
      </c>
      <c r="E20" s="15" t="n">
        <v>0.25</v>
      </c>
      <c r="F20" s="16">
        <f>IFERROR(D20/(1-E20),0)</f>
        <v/>
      </c>
    </row>
    <row r="21">
      <c r="A21" s="7" t="inlineStr">
        <is>
          <t>Remodeling Works (Hacking Works)</t>
        </is>
      </c>
      <c r="B21" s="8" t="inlineStr">
        <is>
          <t>Dismantle sliding / pocket door</t>
        </is>
      </c>
      <c r="C21" s="8" t="inlineStr">
        <is>
          <t>Nos</t>
        </is>
      </c>
      <c r="D21" s="9" t="n">
        <v>150</v>
      </c>
      <c r="E21" s="10" t="n">
        <v>0.25</v>
      </c>
      <c r="F21" s="11">
        <f>IFERROR(D21/(1-E21),0)</f>
        <v/>
      </c>
    </row>
    <row r="22">
      <c r="A22" s="12" t="inlineStr">
        <is>
          <t>Remodeling Works (Hacking Works)</t>
        </is>
      </c>
      <c r="B22" s="13" t="inlineStr">
        <is>
          <t>Dismantle glass panel / mirror</t>
        </is>
      </c>
      <c r="C22" s="13" t="inlineStr">
        <is>
          <t>Nos</t>
        </is>
      </c>
      <c r="D22" s="14" t="n">
        <v>40</v>
      </c>
      <c r="E22" s="15" t="n">
        <v>0.25</v>
      </c>
      <c r="F22" s="16">
        <f>IFERROR(D22/(1-E22),0)</f>
        <v/>
      </c>
    </row>
    <row r="23">
      <c r="A23" s="7" t="inlineStr">
        <is>
          <t>Remodeling Works (Hacking Works)</t>
        </is>
      </c>
      <c r="B23" s="8" t="inlineStr">
        <is>
          <t>Dismantle wall-mounted rack / bracket</t>
        </is>
      </c>
      <c r="C23" s="8" t="inlineStr">
        <is>
          <t>Nos</t>
        </is>
      </c>
      <c r="D23" s="9" t="n">
        <v>30</v>
      </c>
      <c r="E23" s="10" t="n">
        <v>0.25</v>
      </c>
      <c r="F23" s="11">
        <f>IFERROR(D23/(1-E23),0)</f>
        <v/>
      </c>
    </row>
    <row r="24">
      <c r="A24" s="12" t="inlineStr">
        <is>
          <t>Remodeling Works (Hacking Works)</t>
        </is>
      </c>
      <c r="B24" s="13" t="inlineStr">
        <is>
          <t>Dismantle sanitary ware (basin / WC / tap)</t>
        </is>
      </c>
      <c r="C24" s="13" t="inlineStr">
        <is>
          <t>Nos</t>
        </is>
      </c>
      <c r="D24" s="14" t="n">
        <v>50</v>
      </c>
      <c r="E24" s="15" t="n">
        <v>0.25</v>
      </c>
      <c r="F24" s="16">
        <f>IFERROR(D24/(1-E24),0)</f>
        <v/>
      </c>
    </row>
    <row r="25">
      <c r="A25" s="7" t="inlineStr">
        <is>
          <t>Remodeling Works (Hacking Works)</t>
        </is>
      </c>
      <c r="B25" s="8" t="inlineStr">
        <is>
          <t>Dismantle bathroom door</t>
        </is>
      </c>
      <c r="C25" s="8" t="inlineStr">
        <is>
          <t>Nos</t>
        </is>
      </c>
      <c r="D25" s="9" t="n">
        <v>40</v>
      </c>
      <c r="E25" s="10" t="n">
        <v>0.25</v>
      </c>
      <c r="F25" s="11">
        <f>IFERROR(D25/(1-E25),0)</f>
        <v/>
      </c>
    </row>
    <row r="26">
      <c r="A26" s="12" t="inlineStr">
        <is>
          <t>Remodeling Works (Hacking Works)</t>
        </is>
      </c>
      <c r="B26" s="13" t="inlineStr">
        <is>
          <t>Hack non-structural wall (per sqm)</t>
        </is>
      </c>
      <c r="C26" s="13" t="inlineStr">
        <is>
          <t>sqm</t>
        </is>
      </c>
      <c r="D26" s="14" t="n">
        <v>60</v>
      </c>
      <c r="E26" s="15" t="n">
        <v>0.25</v>
      </c>
      <c r="F26" s="16">
        <f>IFERROR(D26/(1-E26),0)</f>
        <v/>
      </c>
    </row>
    <row r="27">
      <c r="A27" s="7" t="inlineStr">
        <is>
          <t>Remodeling Works (Hacking Works)</t>
        </is>
      </c>
      <c r="B27" s="8" t="inlineStr">
        <is>
          <t>Hack existing floor / wall tiles (per sqft)</t>
        </is>
      </c>
      <c r="C27" s="8" t="inlineStr">
        <is>
          <t>sqft</t>
        </is>
      </c>
      <c r="D27" s="9" t="n">
        <v>8</v>
      </c>
      <c r="E27" s="10" t="n">
        <v>0.25</v>
      </c>
      <c r="F27" s="11">
        <f>IFERROR(D27/(1-E27),0)</f>
        <v/>
      </c>
    </row>
    <row r="28">
      <c r="A28" s="12" t="inlineStr">
        <is>
          <t>Plumbing Works</t>
        </is>
      </c>
      <c r="B28" s="13" t="inlineStr">
        <is>
          <t>Install exposed stainless steel cold water inlet pipe</t>
        </is>
      </c>
      <c r="C28" s="13" t="inlineStr">
        <is>
          <t>Nos</t>
        </is>
      </c>
      <c r="D28" s="14" t="n">
        <v>60</v>
      </c>
      <c r="E28" s="15" t="n">
        <v>0.25</v>
      </c>
      <c r="F28" s="16">
        <f>IFERROR(D28/(1-E28),0)</f>
        <v/>
      </c>
    </row>
    <row r="29">
      <c r="A29" s="7" t="inlineStr">
        <is>
          <t>Plumbing Works</t>
        </is>
      </c>
      <c r="B29" s="8" t="inlineStr">
        <is>
          <t>Install sanitary ware / tap (per point)</t>
        </is>
      </c>
      <c r="C29" s="8" t="inlineStr">
        <is>
          <t>Nos</t>
        </is>
      </c>
      <c r="D29" s="9" t="n">
        <v>80</v>
      </c>
      <c r="E29" s="10" t="n">
        <v>0.25</v>
      </c>
      <c r="F29" s="11">
        <f>IFERROR(D29/(1-E29),0)</f>
        <v/>
      </c>
    </row>
    <row r="30">
      <c r="A30" s="12" t="inlineStr">
        <is>
          <t>Plumbing Works</t>
        </is>
      </c>
      <c r="B30" s="13" t="inlineStr">
        <is>
          <t>Supply &amp; install basin with tap &amp; mirror cabinet (package)</t>
        </is>
      </c>
      <c r="C30" s="13" t="inlineStr">
        <is>
          <t>Set</t>
        </is>
      </c>
      <c r="D30" s="14" t="n">
        <v>300</v>
      </c>
      <c r="E30" s="15" t="n">
        <v>0.25</v>
      </c>
      <c r="F30" s="16">
        <f>IFERROR(D30/(1-E30),0)</f>
        <v/>
      </c>
    </row>
    <row r="31">
      <c r="A31" s="7" t="inlineStr">
        <is>
          <t>Plumbing Works</t>
        </is>
      </c>
      <c r="B31" s="8" t="inlineStr">
        <is>
          <t>Kitchen sink installation with tap</t>
        </is>
      </c>
      <c r="C31" s="8" t="inlineStr">
        <is>
          <t>Nos</t>
        </is>
      </c>
      <c r="D31" s="9" t="n">
        <v>80</v>
      </c>
      <c r="E31" s="10" t="n">
        <v>0.25</v>
      </c>
      <c r="F31" s="11">
        <f>IFERROR(D31/(1-E31),0)</f>
        <v/>
      </c>
    </row>
    <row r="32">
      <c r="A32" s="12" t="inlineStr">
        <is>
          <t>Plumbing Works</t>
        </is>
      </c>
      <c r="B32" s="13" t="inlineStr">
        <is>
          <t>Washing machine tap point</t>
        </is>
      </c>
      <c r="C32" s="13" t="inlineStr">
        <is>
          <t>Nos</t>
        </is>
      </c>
      <c r="D32" s="14" t="n">
        <v>60</v>
      </c>
      <c r="E32" s="15" t="n">
        <v>0.25</v>
      </c>
      <c r="F32" s="16">
        <f>IFERROR(D32/(1-E32),0)</f>
        <v/>
      </c>
    </row>
    <row r="33">
      <c r="A33" s="7" t="inlineStr">
        <is>
          <t>Plumbing Works</t>
        </is>
      </c>
      <c r="B33" s="8" t="inlineStr">
        <is>
          <t>Relocate / extend plumbing point</t>
        </is>
      </c>
      <c r="C33" s="8" t="inlineStr">
        <is>
          <t>Nos</t>
        </is>
      </c>
      <c r="D33" s="9" t="n">
        <v>150</v>
      </c>
      <c r="E33" s="10" t="n">
        <v>0.25</v>
      </c>
      <c r="F33" s="11">
        <f>IFERROR(D33/(1-E33),0)</f>
        <v/>
      </c>
    </row>
    <row r="34">
      <c r="A34" s="12" t="inlineStr">
        <is>
          <t>Masonry Works</t>
        </is>
      </c>
      <c r="B34" s="13" t="inlineStr">
        <is>
          <t>Construct 50mm mortar plinth / kerb (shower / washer base)</t>
        </is>
      </c>
      <c r="C34" s="13" t="inlineStr">
        <is>
          <t>Nos</t>
        </is>
      </c>
      <c r="D34" s="14" t="n">
        <v>150</v>
      </c>
      <c r="E34" s="15" t="n">
        <v>0.25</v>
      </c>
      <c r="F34" s="16">
        <f>IFERROR(D34/(1-E34),0)</f>
        <v/>
      </c>
    </row>
    <row r="35">
      <c r="A35" s="7" t="inlineStr">
        <is>
          <t>Masonry Works</t>
        </is>
      </c>
      <c r="B35" s="8" t="inlineStr">
        <is>
          <t>Erect low-height hollow block wall (tiled finish)</t>
        </is>
      </c>
      <c r="C35" s="8" t="inlineStr">
        <is>
          <t>ft run</t>
        </is>
      </c>
      <c r="D35" s="9" t="n">
        <v>130</v>
      </c>
      <c r="E35" s="10" t="n">
        <v>0.25</v>
      </c>
      <c r="F35" s="11">
        <f>IFERROR(D35/(1-E35),0)</f>
        <v/>
      </c>
    </row>
    <row r="36">
      <c r="A36" s="12" t="inlineStr">
        <is>
          <t>Masonry Works</t>
        </is>
      </c>
      <c r="B36" s="13" t="inlineStr">
        <is>
          <t>Overlay tiles for cabinet backing</t>
        </is>
      </c>
      <c r="C36" s="13" t="inlineStr">
        <is>
          <t>ft run</t>
        </is>
      </c>
      <c r="D36" s="14" t="n">
        <v>90</v>
      </c>
      <c r="E36" s="15" t="n">
        <v>0.25</v>
      </c>
      <c r="F36" s="16">
        <f>IFERROR(D36/(1-E36),0)</f>
        <v/>
      </c>
    </row>
    <row r="37">
      <c r="A37" s="7" t="inlineStr">
        <is>
          <t>Masonry Works</t>
        </is>
      </c>
      <c r="B37" s="8" t="inlineStr">
        <is>
          <t>Lay floor / wall tiles, standard (≤$4/pc)</t>
        </is>
      </c>
      <c r="C37" s="8" t="inlineStr">
        <is>
          <t>sqft</t>
        </is>
      </c>
      <c r="D37" s="9" t="n">
        <v>12</v>
      </c>
      <c r="E37" s="10" t="n">
        <v>0.25</v>
      </c>
      <c r="F37" s="11">
        <f>IFERROR(D37/(1-E37),0)</f>
        <v/>
      </c>
    </row>
    <row r="38">
      <c r="A38" s="12" t="inlineStr">
        <is>
          <t>Masonry Works</t>
        </is>
      </c>
      <c r="B38" s="13" t="inlineStr">
        <is>
          <t>Lay floor / wall tiles, premium</t>
        </is>
      </c>
      <c r="C38" s="13" t="inlineStr">
        <is>
          <t>sqft</t>
        </is>
      </c>
      <c r="D38" s="14" t="n">
        <v>18</v>
      </c>
      <c r="E38" s="15" t="n">
        <v>0.25</v>
      </c>
      <c r="F38" s="16">
        <f>IFERROR(D38/(1-E38),0)</f>
        <v/>
      </c>
    </row>
    <row r="39">
      <c r="A39" s="7" t="inlineStr">
        <is>
          <t>Waterproofing Works</t>
        </is>
      </c>
      <c r="B39" s="8" t="inlineStr">
        <is>
          <t>Waterproofing membrane - bathroom floor &amp; wall</t>
        </is>
      </c>
      <c r="C39" s="8" t="inlineStr">
        <is>
          <t>Lot</t>
        </is>
      </c>
      <c r="D39" s="9" t="n">
        <v>400</v>
      </c>
      <c r="E39" s="10" t="n">
        <v>0.25</v>
      </c>
      <c r="F39" s="11">
        <f>IFERROR(D39/(1-E39),0)</f>
        <v/>
      </c>
    </row>
    <row r="40">
      <c r="A40" s="12" t="inlineStr">
        <is>
          <t>Waterproofing Works</t>
        </is>
      </c>
      <c r="B40" s="13" t="inlineStr">
        <is>
          <t>Waterproofing membrane - kitchen / service yard</t>
        </is>
      </c>
      <c r="C40" s="13" t="inlineStr">
        <is>
          <t>Lot</t>
        </is>
      </c>
      <c r="D40" s="14" t="n">
        <v>300</v>
      </c>
      <c r="E40" s="15" t="n">
        <v>0.25</v>
      </c>
      <c r="F40" s="16">
        <f>IFERROR(D40/(1-E40),0)</f>
        <v/>
      </c>
    </row>
    <row r="41">
      <c r="A41" s="7" t="inlineStr">
        <is>
          <t>Waterproofing Works</t>
        </is>
      </c>
      <c r="B41" s="8" t="inlineStr">
        <is>
          <t>Water ponding test</t>
        </is>
      </c>
      <c r="C41" s="8" t="inlineStr">
        <is>
          <t>Lot</t>
        </is>
      </c>
      <c r="D41" s="9" t="n">
        <v>100</v>
      </c>
      <c r="E41" s="10" t="n">
        <v>0.25</v>
      </c>
      <c r="F41" s="11">
        <f>IFERROR(D41/(1-E41),0)</f>
        <v/>
      </c>
    </row>
    <row r="42">
      <c r="A42" s="12" t="inlineStr">
        <is>
          <t>Plasterceil Works</t>
        </is>
      </c>
      <c r="B42" s="13" t="inlineStr">
        <is>
          <t>Install new false ceiling, plaster board (per sqft)</t>
        </is>
      </c>
      <c r="C42" s="13" t="inlineStr">
        <is>
          <t>sqft</t>
        </is>
      </c>
      <c r="D42" s="14" t="n">
        <v>12</v>
      </c>
      <c r="E42" s="15" t="n">
        <v>0.25</v>
      </c>
      <c r="F42" s="16">
        <f>IFERROR(D42/(1-E42),0)</f>
        <v/>
      </c>
    </row>
    <row r="43">
      <c r="A43" s="7" t="inlineStr">
        <is>
          <t>Plasterceil Works</t>
        </is>
      </c>
      <c r="B43" s="8" t="inlineStr">
        <is>
          <t>Repair false ceiling (per affected area)</t>
        </is>
      </c>
      <c r="C43" s="8" t="inlineStr">
        <is>
          <t>Lot</t>
        </is>
      </c>
      <c r="D43" s="9" t="n">
        <v>250</v>
      </c>
      <c r="E43" s="10" t="n">
        <v>0.25</v>
      </c>
      <c r="F43" s="11">
        <f>IFERROR(D43/(1-E43),0)</f>
        <v/>
      </c>
    </row>
    <row r="44">
      <c r="A44" s="12" t="inlineStr">
        <is>
          <t>Plasterceil Works</t>
        </is>
      </c>
      <c r="B44" s="13" t="inlineStr">
        <is>
          <t>Box up aircon piping (per run)</t>
        </is>
      </c>
      <c r="C44" s="13" t="inlineStr">
        <is>
          <t>ft run</t>
        </is>
      </c>
      <c r="D44" s="14" t="n">
        <v>40</v>
      </c>
      <c r="E44" s="15" t="n">
        <v>0.25</v>
      </c>
      <c r="F44" s="16">
        <f>IFERROR(D44/(1-E44),0)</f>
        <v/>
      </c>
    </row>
    <row r="45">
      <c r="A45" s="7" t="inlineStr">
        <is>
          <t>Plasterceil Works</t>
        </is>
      </c>
      <c r="B45" s="8" t="inlineStr">
        <is>
          <t>Cove light box (per ft run)</t>
        </is>
      </c>
      <c r="C45" s="8" t="inlineStr">
        <is>
          <t>ft run</t>
        </is>
      </c>
      <c r="D45" s="9" t="n">
        <v>30</v>
      </c>
      <c r="E45" s="10" t="n">
        <v>0.25</v>
      </c>
      <c r="F45" s="11">
        <f>IFERROR(D45/(1-E45),0)</f>
        <v/>
      </c>
    </row>
    <row r="46">
      <c r="A46" s="12" t="inlineStr">
        <is>
          <t>Plastering Works</t>
        </is>
      </c>
      <c r="B46" s="13" t="inlineStr">
        <is>
          <t>Skim coat / re-plaster wall (per sqft)</t>
        </is>
      </c>
      <c r="C46" s="13" t="inlineStr">
        <is>
          <t>sqft</t>
        </is>
      </c>
      <c r="D46" s="14" t="n">
        <v>4</v>
      </c>
      <c r="E46" s="15" t="n">
        <v>0.25</v>
      </c>
      <c r="F46" s="16">
        <f>IFERROR(D46/(1-E46),0)</f>
        <v/>
      </c>
    </row>
    <row r="47">
      <c r="A47" s="7" t="inlineStr">
        <is>
          <t>Plastering Works</t>
        </is>
      </c>
      <c r="B47" s="8" t="inlineStr">
        <is>
          <t>Plaster ceiling (per room)</t>
        </is>
      </c>
      <c r="C47" s="8" t="inlineStr">
        <is>
          <t>Lot</t>
        </is>
      </c>
      <c r="D47" s="9" t="n">
        <v>2600</v>
      </c>
      <c r="E47" s="10" t="n">
        <v>0.25</v>
      </c>
      <c r="F47" s="11">
        <f>IFERROR(D47/(1-E47),0)</f>
        <v/>
      </c>
    </row>
    <row r="48">
      <c r="A48" s="12" t="inlineStr">
        <is>
          <t>Painting Works</t>
        </is>
      </c>
      <c r="B48" s="13" t="inlineStr">
        <is>
          <t>Apply sealer / primer, whole house</t>
        </is>
      </c>
      <c r="C48" s="13" t="inlineStr">
        <is>
          <t>Lot</t>
        </is>
      </c>
      <c r="D48" s="14" t="n">
        <v>350</v>
      </c>
      <c r="E48" s="15" t="n">
        <v>0.25</v>
      </c>
      <c r="F48" s="16">
        <f>IFERROR(D48/(1-E48),0)</f>
        <v/>
      </c>
    </row>
    <row r="49">
      <c r="A49" s="7" t="inlineStr">
        <is>
          <t>Painting Works</t>
        </is>
      </c>
      <c r="B49" s="8" t="inlineStr">
        <is>
          <t>Paint interior wall &amp; ceiling, whole house</t>
        </is>
      </c>
      <c r="C49" s="8" t="inlineStr">
        <is>
          <t>Lot</t>
        </is>
      </c>
      <c r="D49" s="9" t="n">
        <v>800</v>
      </c>
      <c r="E49" s="10" t="n">
        <v>0.25</v>
      </c>
      <c r="F49" s="11">
        <f>IFERROR(D49/(1-E49),0)</f>
        <v/>
      </c>
    </row>
    <row r="50">
      <c r="A50" s="12" t="inlineStr">
        <is>
          <t>Painting Works</t>
        </is>
      </c>
      <c r="B50" s="13" t="inlineStr">
        <is>
          <t>Touch-up / patch painting (per room)</t>
        </is>
      </c>
      <c r="C50" s="13" t="inlineStr">
        <is>
          <t>Room</t>
        </is>
      </c>
      <c r="D50" s="14" t="n">
        <v>150</v>
      </c>
      <c r="E50" s="15" t="n">
        <v>0.25</v>
      </c>
      <c r="F50" s="16">
        <f>IFERROR(D50/(1-E50),0)</f>
        <v/>
      </c>
    </row>
    <row r="51">
      <c r="A51" s="7" t="inlineStr">
        <is>
          <t>Painting Works</t>
        </is>
      </c>
      <c r="B51" s="8" t="inlineStr">
        <is>
          <t>Anti-mould ceiling paint, wet areas (per room)</t>
        </is>
      </c>
      <c r="C51" s="8" t="inlineStr">
        <is>
          <t>Room</t>
        </is>
      </c>
      <c r="D51" s="9" t="n">
        <v>100</v>
      </c>
      <c r="E51" s="10" t="n">
        <v>0.25</v>
      </c>
      <c r="F51" s="11">
        <f>IFERROR(D51/(1-E51),0)</f>
        <v/>
      </c>
    </row>
    <row r="52">
      <c r="A52" s="12" t="inlineStr">
        <is>
          <t>Glass Works</t>
        </is>
      </c>
      <c r="B52" s="13" t="inlineStr">
        <is>
          <t>Fixed glass shower screen, 10mm (per panel)</t>
        </is>
      </c>
      <c r="C52" s="13" t="inlineStr">
        <is>
          <t>Nos</t>
        </is>
      </c>
      <c r="D52" s="14" t="n">
        <v>150</v>
      </c>
      <c r="E52" s="15" t="n">
        <v>0.25</v>
      </c>
      <c r="F52" s="16">
        <f>IFERROR(D52/(1-E52),0)</f>
        <v/>
      </c>
    </row>
    <row r="53">
      <c r="A53" s="7" t="inlineStr">
        <is>
          <t>Glass Works</t>
        </is>
      </c>
      <c r="B53" s="8" t="inlineStr">
        <is>
          <t>Sliding glass shower screen (per set)</t>
        </is>
      </c>
      <c r="C53" s="8" t="inlineStr">
        <is>
          <t>Set</t>
        </is>
      </c>
      <c r="D53" s="9" t="n">
        <v>400</v>
      </c>
      <c r="E53" s="10" t="n">
        <v>0.25</v>
      </c>
      <c r="F53" s="11">
        <f>IFERROR(D53/(1-E53),0)</f>
        <v/>
      </c>
    </row>
    <row r="54">
      <c r="A54" s="12" t="inlineStr">
        <is>
          <t>Glass Works</t>
        </is>
      </c>
      <c r="B54" s="13" t="inlineStr">
        <is>
          <t>Glass feature wall / mirror installation (per sqft)</t>
        </is>
      </c>
      <c r="C54" s="13" t="inlineStr">
        <is>
          <t>sqft</t>
        </is>
      </c>
      <c r="D54" s="14" t="n">
        <v>15</v>
      </c>
      <c r="E54" s="15" t="n">
        <v>0.25</v>
      </c>
      <c r="F54" s="16">
        <f>IFERROR(D54/(1-E54),0)</f>
        <v/>
      </c>
    </row>
    <row r="55">
      <c r="A55" s="7" t="inlineStr">
        <is>
          <t>Aluminium And Steel Works</t>
        </is>
      </c>
      <c r="B55" s="8" t="inlineStr">
        <is>
          <t>Fabricate &amp; install swing/slide door with glass (per set)</t>
        </is>
      </c>
      <c r="C55" s="8" t="inlineStr">
        <is>
          <t>Set</t>
        </is>
      </c>
      <c r="D55" s="9" t="n">
        <v>600</v>
      </c>
      <c r="E55" s="10" t="n">
        <v>0.25</v>
      </c>
      <c r="F55" s="11">
        <f>IFERROR(D55/(1-E55),0)</f>
        <v/>
      </c>
    </row>
    <row r="56">
      <c r="A56" s="12" t="inlineStr">
        <is>
          <t>Aluminium And Steel Works</t>
        </is>
      </c>
      <c r="B56" s="13" t="inlineStr">
        <is>
          <t>Glass sliding door, tinted (per leaf)</t>
        </is>
      </c>
      <c r="C56" s="13" t="inlineStr">
        <is>
          <t>Nos</t>
        </is>
      </c>
      <c r="D56" s="14" t="n">
        <v>400</v>
      </c>
      <c r="E56" s="15" t="n">
        <v>0.25</v>
      </c>
      <c r="F56" s="16">
        <f>IFERROR(D56/(1-E56),0)</f>
        <v/>
      </c>
    </row>
    <row r="57">
      <c r="A57" s="7" t="inlineStr">
        <is>
          <t>Aluminium And Steel Works</t>
        </is>
      </c>
      <c r="B57" s="8" t="inlineStr">
        <is>
          <t>Aluminium window / grille (per sqft)</t>
        </is>
      </c>
      <c r="C57" s="8" t="inlineStr">
        <is>
          <t>sqft</t>
        </is>
      </c>
      <c r="D57" s="9" t="n">
        <v>35</v>
      </c>
      <c r="E57" s="10" t="n">
        <v>0.25</v>
      </c>
      <c r="F57" s="11">
        <f>IFERROR(D57/(1-E57),0)</f>
        <v/>
      </c>
    </row>
    <row r="58">
      <c r="A58" s="12" t="inlineStr">
        <is>
          <t>Aluminium And Steel Works</t>
        </is>
      </c>
      <c r="B58" s="13" t="inlineStr">
        <is>
          <t>Powder-coated steel gate / door (per set)</t>
        </is>
      </c>
      <c r="C58" s="13" t="inlineStr">
        <is>
          <t>Set</t>
        </is>
      </c>
      <c r="D58" s="14" t="n">
        <v>1400</v>
      </c>
      <c r="E58" s="15" t="n">
        <v>0.25</v>
      </c>
      <c r="F58" s="16">
        <f>IFERROR(D58/(1-E58),0)</f>
        <v/>
      </c>
    </row>
    <row r="59">
      <c r="A59" s="7" t="inlineStr">
        <is>
          <t>Carpentry Works</t>
        </is>
      </c>
      <c r="B59" s="8" t="inlineStr">
        <is>
          <t>Laminate carpentry - base / top cabinet (per ft run)</t>
        </is>
      </c>
      <c r="C59" s="8" t="inlineStr">
        <is>
          <t>ft run</t>
        </is>
      </c>
      <c r="D59" s="9" t="n">
        <v>130</v>
      </c>
      <c r="E59" s="10" t="n">
        <v>0.25</v>
      </c>
      <c r="F59" s="11">
        <f>IFERROR(D59/(1-E59),0)</f>
        <v/>
      </c>
    </row>
    <row r="60">
      <c r="A60" s="12" t="inlineStr">
        <is>
          <t>Carpentry Works</t>
        </is>
      </c>
      <c r="B60" s="13" t="inlineStr">
        <is>
          <t>Laminate carpentry with embedded LED pelmet (per ft run)</t>
        </is>
      </c>
      <c r="C60" s="13" t="inlineStr">
        <is>
          <t>ft run</t>
        </is>
      </c>
      <c r="D60" s="14" t="n">
        <v>137</v>
      </c>
      <c r="E60" s="15" t="n">
        <v>0.25</v>
      </c>
      <c r="F60" s="16">
        <f>IFERROR(D60/(1-E60),0)</f>
        <v/>
      </c>
    </row>
    <row r="61">
      <c r="A61" s="7" t="inlineStr">
        <is>
          <t>Carpentry Works</t>
        </is>
      </c>
      <c r="B61" s="8" t="inlineStr">
        <is>
          <t>Full-height wardrobe / cabinet (per ft run)</t>
        </is>
      </c>
      <c r="C61" s="8" t="inlineStr">
        <is>
          <t>ft run</t>
        </is>
      </c>
      <c r="D61" s="9" t="n">
        <v>160</v>
      </c>
      <c r="E61" s="10" t="n">
        <v>0.25</v>
      </c>
      <c r="F61" s="11">
        <f>IFERROR(D61/(1-E61),0)</f>
        <v/>
      </c>
    </row>
    <row r="62">
      <c r="A62" s="12" t="inlineStr">
        <is>
          <t>Carpentry Works</t>
        </is>
      </c>
      <c r="B62" s="13" t="inlineStr">
        <is>
          <t>Curved / feature side panel (per ft run)</t>
        </is>
      </c>
      <c r="C62" s="13" t="inlineStr">
        <is>
          <t>ft run</t>
        </is>
      </c>
      <c r="D62" s="14" t="n">
        <v>180</v>
      </c>
      <c r="E62" s="15" t="n">
        <v>0.25</v>
      </c>
      <c r="F62" s="16">
        <f>IFERROR(D62/(1-E62),0)</f>
        <v/>
      </c>
    </row>
    <row r="63">
      <c r="A63" s="7" t="inlineStr">
        <is>
          <t>Carpentry Works</t>
        </is>
      </c>
      <c r="B63" s="8" t="inlineStr">
        <is>
          <t>TV console / feature wall unit (per ft run)</t>
        </is>
      </c>
      <c r="C63" s="8" t="inlineStr">
        <is>
          <t>ft run</t>
        </is>
      </c>
      <c r="D63" s="9" t="n">
        <v>130</v>
      </c>
      <c r="E63" s="10" t="n">
        <v>0.25</v>
      </c>
      <c r="F63" s="11">
        <f>IFERROR(D63/(1-E63),0)</f>
        <v/>
      </c>
    </row>
    <row r="64">
      <c r="A64" s="12" t="inlineStr">
        <is>
          <t>Carpentry Works</t>
        </is>
      </c>
      <c r="B64" s="13" t="inlineStr">
        <is>
          <t>Swing-up door retrofit for existing wardrobe (per set)</t>
        </is>
      </c>
      <c r="C64" s="13" t="inlineStr">
        <is>
          <t>Nos</t>
        </is>
      </c>
      <c r="D64" s="14" t="n">
        <v>160</v>
      </c>
      <c r="E64" s="15" t="n">
        <v>0.25</v>
      </c>
      <c r="F64" s="16">
        <f>IFERROR(D64/(1-E64),0)</f>
        <v/>
      </c>
    </row>
    <row r="65">
      <c r="A65" s="7" t="inlineStr">
        <is>
          <t>Work And Service Top</t>
        </is>
      </c>
      <c r="B65" s="8" t="inlineStr">
        <is>
          <t>Sintered stone / quartz worktop, standard (per ft run)</t>
        </is>
      </c>
      <c r="C65" s="8" t="inlineStr">
        <is>
          <t>ft run</t>
        </is>
      </c>
      <c r="D65" s="9" t="n">
        <v>70</v>
      </c>
      <c r="E65" s="10" t="n">
        <v>0.25</v>
      </c>
      <c r="F65" s="11">
        <f>IFERROR(D65/(1-E65),0)</f>
        <v/>
      </c>
    </row>
    <row r="66">
      <c r="A66" s="12" t="inlineStr">
        <is>
          <t>Work And Service Top</t>
        </is>
      </c>
      <c r="B66" s="13" t="inlineStr">
        <is>
          <t>Sintered stone / quartz worktop, premium (per ft run)</t>
        </is>
      </c>
      <c r="C66" s="13" t="inlineStr">
        <is>
          <t>ft run</t>
        </is>
      </c>
      <c r="D66" s="14" t="n">
        <v>100</v>
      </c>
      <c r="E66" s="15" t="n">
        <v>0.25</v>
      </c>
      <c r="F66" s="16">
        <f>IFERROR(D66/(1-E66),0)</f>
        <v/>
      </c>
    </row>
    <row r="67">
      <c r="A67" s="7" t="inlineStr">
        <is>
          <t>Work And Service Top</t>
        </is>
      </c>
      <c r="B67" s="8" t="inlineStr">
        <is>
          <t>Cutting / shaping / polishing edge for sink cutout</t>
        </is>
      </c>
      <c r="C67" s="8" t="inlineStr">
        <is>
          <t>Nos</t>
        </is>
      </c>
      <c r="D67" s="9" t="n">
        <v>60</v>
      </c>
      <c r="E67" s="10" t="n">
        <v>0.25</v>
      </c>
      <c r="F67" s="11">
        <f>IFERROR(D67/(1-E67),0)</f>
        <v/>
      </c>
    </row>
    <row r="68">
      <c r="A68" s="12" t="inlineStr">
        <is>
          <t>Electrical Works</t>
        </is>
      </c>
      <c r="B68" s="13" t="inlineStr">
        <is>
          <t>Lighting point</t>
        </is>
      </c>
      <c r="C68" s="13" t="inlineStr">
        <is>
          <t>Nos</t>
        </is>
      </c>
      <c r="D68" s="14" t="n">
        <v>32</v>
      </c>
      <c r="E68" s="15" t="n">
        <v>0.25</v>
      </c>
      <c r="F68" s="16">
        <f>IFERROR(D68/(1-E68),0)</f>
        <v/>
      </c>
    </row>
    <row r="69">
      <c r="A69" s="7" t="inlineStr">
        <is>
          <t>Electrical Works</t>
        </is>
      </c>
      <c r="B69" s="8" t="inlineStr">
        <is>
          <t>LED light point (incl. installation)</t>
        </is>
      </c>
      <c r="C69" s="8" t="inlineStr">
        <is>
          <t>Nos</t>
        </is>
      </c>
      <c r="D69" s="9" t="n">
        <v>60</v>
      </c>
      <c r="E69" s="10" t="n">
        <v>0.25</v>
      </c>
      <c r="F69" s="11">
        <f>IFERROR(D69/(1-E69),0)</f>
        <v/>
      </c>
    </row>
    <row r="70">
      <c r="A70" s="12" t="inlineStr">
        <is>
          <t>Electrical Works</t>
        </is>
      </c>
      <c r="B70" s="13" t="inlineStr">
        <is>
          <t>13A single power point</t>
        </is>
      </c>
      <c r="C70" s="13" t="inlineStr">
        <is>
          <t>Nos</t>
        </is>
      </c>
      <c r="D70" s="14" t="n">
        <v>55</v>
      </c>
      <c r="E70" s="15" t="n">
        <v>0.25</v>
      </c>
      <c r="F70" s="16">
        <f>IFERROR(D70/(1-E70),0)</f>
        <v/>
      </c>
    </row>
    <row r="71">
      <c r="A71" s="7" t="inlineStr">
        <is>
          <t>Electrical Works</t>
        </is>
      </c>
      <c r="B71" s="8" t="inlineStr">
        <is>
          <t>13A double power point</t>
        </is>
      </c>
      <c r="C71" s="8" t="inlineStr">
        <is>
          <t>Nos</t>
        </is>
      </c>
      <c r="D71" s="9" t="n">
        <v>65</v>
      </c>
      <c r="E71" s="10" t="n">
        <v>0.25</v>
      </c>
      <c r="F71" s="11">
        <f>IFERROR(D71/(1-E71),0)</f>
        <v/>
      </c>
    </row>
    <row r="72">
      <c r="A72" s="12" t="inlineStr">
        <is>
          <t>Electrical Works</t>
        </is>
      </c>
      <c r="B72" s="13" t="inlineStr">
        <is>
          <t>Data point (Cat6)</t>
        </is>
      </c>
      <c r="C72" s="13" t="inlineStr">
        <is>
          <t>Nos</t>
        </is>
      </c>
      <c r="D72" s="14" t="n">
        <v>110</v>
      </c>
      <c r="E72" s="15" t="n">
        <v>0.25</v>
      </c>
      <c r="F72" s="16">
        <f>IFERROR(D72/(1-E72),0)</f>
        <v/>
      </c>
    </row>
    <row r="73">
      <c r="A73" s="7" t="inlineStr">
        <is>
          <t>Electrical Works</t>
        </is>
      </c>
      <c r="B73" s="8" t="inlineStr">
        <is>
          <t>Ceiling fan point</t>
        </is>
      </c>
      <c r="C73" s="8" t="inlineStr">
        <is>
          <t>Nos</t>
        </is>
      </c>
      <c r="D73" s="9" t="n">
        <v>32</v>
      </c>
      <c r="E73" s="10" t="n">
        <v>0.25</v>
      </c>
      <c r="F73" s="11">
        <f>IFERROR(D73/(1-E73),0)</f>
        <v/>
      </c>
    </row>
    <row r="74">
      <c r="A74" s="12" t="inlineStr">
        <is>
          <t>Electrical Works</t>
        </is>
      </c>
      <c r="B74" s="13" t="inlineStr">
        <is>
          <t>Door bell point</t>
        </is>
      </c>
      <c r="C74" s="13" t="inlineStr">
        <is>
          <t>Nos</t>
        </is>
      </c>
      <c r="D74" s="14" t="n">
        <v>32</v>
      </c>
      <c r="E74" s="15" t="n">
        <v>0.25</v>
      </c>
      <c r="F74" s="16">
        <f>IFERROR(D74/(1-E74),0)</f>
        <v/>
      </c>
    </row>
    <row r="75">
      <c r="A75" s="7" t="inlineStr">
        <is>
          <t>Electrical Works</t>
        </is>
      </c>
      <c r="B75" s="8" t="inlineStr">
        <is>
          <t>New / upgraded DB box</t>
        </is>
      </c>
      <c r="C75" s="8" t="inlineStr">
        <is>
          <t>Nos</t>
        </is>
      </c>
      <c r="D75" s="9" t="n">
        <v>850</v>
      </c>
      <c r="E75" s="10" t="n">
        <v>0.25</v>
      </c>
      <c r="F75" s="11">
        <f>IFERROR(D75/(1-E75),0)</f>
        <v/>
      </c>
    </row>
    <row r="76">
      <c r="A76" s="12" t="inlineStr">
        <is>
          <t>Electrical Works</t>
        </is>
      </c>
      <c r="B76" s="13" t="inlineStr">
        <is>
          <t>Concealed wiring / conduit surcharge (per point)</t>
        </is>
      </c>
      <c r="C76" s="13" t="inlineStr">
        <is>
          <t>Nos</t>
        </is>
      </c>
      <c r="D76" s="14" t="n">
        <v>50</v>
      </c>
      <c r="E76" s="15" t="n">
        <v>0.25</v>
      </c>
      <c r="F76" s="16">
        <f>IFERROR(D76/(1-E76),0)</f>
        <v/>
      </c>
    </row>
    <row r="77">
      <c r="A77" s="7" t="inlineStr">
        <is>
          <t>Flooring Works</t>
        </is>
      </c>
      <c r="B77" s="8" t="inlineStr">
        <is>
          <t>Re-grout tile joints with colour epoxy (per sqft)</t>
        </is>
      </c>
      <c r="C77" s="8" t="inlineStr">
        <is>
          <t>sqft</t>
        </is>
      </c>
      <c r="D77" s="9" t="n">
        <v>3</v>
      </c>
      <c r="E77" s="10" t="n">
        <v>0.25</v>
      </c>
      <c r="F77" s="11">
        <f>IFERROR(D77/(1-E77),0)</f>
        <v/>
      </c>
    </row>
    <row r="78">
      <c r="A78" s="12" t="inlineStr">
        <is>
          <t>Flooring Works</t>
        </is>
      </c>
      <c r="B78" s="13" t="inlineStr">
        <is>
          <t>Rake out &amp; re-grout floor/wall tiles, wet area (per sqft)</t>
        </is>
      </c>
      <c r="C78" s="13" t="inlineStr">
        <is>
          <t>sqft</t>
        </is>
      </c>
      <c r="D78" s="14" t="n">
        <v>4</v>
      </c>
      <c r="E78" s="15" t="n">
        <v>0.25</v>
      </c>
      <c r="F78" s="16">
        <f>IFERROR(D78/(1-E78),0)</f>
        <v/>
      </c>
    </row>
    <row r="79">
      <c r="A79" s="7" t="inlineStr">
        <is>
          <t>Flooring Works</t>
        </is>
      </c>
      <c r="B79" s="8" t="inlineStr">
        <is>
          <t>Overlay vinyl / laminate flooring (per sqft)</t>
        </is>
      </c>
      <c r="C79" s="8" t="inlineStr">
        <is>
          <t>sqft</t>
        </is>
      </c>
      <c r="D79" s="9" t="n">
        <v>6</v>
      </c>
      <c r="E79" s="10" t="n">
        <v>0.25</v>
      </c>
      <c r="F79" s="11">
        <f>IFERROR(D79/(1-E79),0)</f>
        <v/>
      </c>
    </row>
    <row r="80">
      <c r="A80" s="12" t="inlineStr">
        <is>
          <t>Aircon Works</t>
        </is>
      </c>
      <c r="B80" s="13" t="inlineStr">
        <is>
          <t>Aircon piping &amp; installation, per fan coil (System 1)</t>
        </is>
      </c>
      <c r="C80" s="13" t="inlineStr">
        <is>
          <t>Nos</t>
        </is>
      </c>
      <c r="D80" s="14" t="n">
        <v>600</v>
      </c>
      <c r="E80" s="15" t="n">
        <v>0.25</v>
      </c>
      <c r="F80" s="16">
        <f>IFERROR(D80/(1-E80),0)</f>
        <v/>
      </c>
    </row>
    <row r="81">
      <c r="A81" s="7" t="inlineStr">
        <is>
          <t>Aircon Works</t>
        </is>
      </c>
      <c r="B81" s="8" t="inlineStr">
        <is>
          <t>Aircon trunking / box-up (per ft run)</t>
        </is>
      </c>
      <c r="C81" s="8" t="inlineStr">
        <is>
          <t>ft run</t>
        </is>
      </c>
      <c r="D81" s="9" t="n">
        <v>40</v>
      </c>
      <c r="E81" s="10" t="n">
        <v>0.25</v>
      </c>
      <c r="F81" s="11">
        <f>IFERROR(D81/(1-E81),0)</f>
        <v/>
      </c>
    </row>
    <row r="82">
      <c r="A82" s="12" t="inlineStr">
        <is>
          <t>Miscellaneous Works</t>
        </is>
      </c>
      <c r="B82" s="13" t="inlineStr">
        <is>
          <t>General cleaning upon completion, whole house</t>
        </is>
      </c>
      <c r="C82" s="13" t="inlineStr">
        <is>
          <t>Lot</t>
        </is>
      </c>
      <c r="D82" s="14" t="n">
        <v>300</v>
      </c>
      <c r="E82" s="15" t="n">
        <v>0.25</v>
      </c>
      <c r="F82" s="16">
        <f>IFERROR(D82/(1-E82),0)</f>
        <v/>
      </c>
    </row>
    <row r="83">
      <c r="A83" s="7" t="inlineStr">
        <is>
          <t>Miscellaneous Works</t>
        </is>
      </c>
      <c r="B83" s="8" t="inlineStr">
        <is>
          <t>Chemical wash (wet areas), whole house</t>
        </is>
      </c>
      <c r="C83" s="8" t="inlineStr">
        <is>
          <t>Lot</t>
        </is>
      </c>
      <c r="D83" s="9" t="n">
        <v>350</v>
      </c>
      <c r="E83" s="10" t="n">
        <v>0.25</v>
      </c>
      <c r="F83" s="11">
        <f>IFERROR(D83/(1-E83),0)</f>
        <v/>
      </c>
    </row>
    <row r="84">
      <c r="A84" s="12" t="inlineStr">
        <is>
          <t>Miscellaneous Works</t>
        </is>
      </c>
      <c r="B84" s="13" t="inlineStr">
        <is>
          <t>Protection works (corridor / lift / common area)</t>
        </is>
      </c>
      <c r="C84" s="13" t="inlineStr">
        <is>
          <t>Lot</t>
        </is>
      </c>
      <c r="D84" s="14" t="n">
        <v>150</v>
      </c>
      <c r="E84" s="15" t="n">
        <v>0.25</v>
      </c>
      <c r="F84" s="16">
        <f>IFERROR(D84/(1-E84),0)</f>
        <v/>
      </c>
    </row>
  </sheetData>
  <mergeCells count="2">
    <mergeCell ref="A2:F2"/>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fitToPage="1"/>
  </sheetPr>
  <dimension ref="A1:F197"/>
  <sheetViews>
    <sheetView showGridLines="0" workbookViewId="0">
      <pane ySplit="14" topLeftCell="A15" activePane="bottomLeft" state="frozen"/>
      <selection pane="bottomLeft" activeCell="A1" sqref="A1"/>
    </sheetView>
  </sheetViews>
  <sheetFormatPr baseColWidth="8" defaultRowHeight="15"/>
  <cols>
    <col width="8" customWidth="1" min="1" max="1"/>
    <col width="46" customWidth="1" min="2" max="2"/>
    <col width="10" customWidth="1" min="3" max="3"/>
    <col width="8" customWidth="1" min="4" max="4"/>
    <col width="14" customWidth="1" min="5" max="5"/>
    <col width="16" customWidth="1" min="6" max="6"/>
  </cols>
  <sheetData>
    <row r="1">
      <c r="A1" s="17" t="inlineStr">
        <is>
          <t>ICON INTERIOR DESIGN PTE LTD</t>
        </is>
      </c>
      <c r="E1" s="18" t="inlineStr">
        <is>
          <t>Contract No:</t>
        </is>
      </c>
    </row>
    <row r="2">
      <c r="A2" s="19" t="inlineStr">
        <is>
          <t>Showroom address  |  Tel: xxxx xxxx  |  Fax: xxxx xxxx</t>
        </is>
      </c>
      <c r="E2" s="18" t="inlineStr">
        <is>
          <t>Date:</t>
        </is>
      </c>
    </row>
    <row r="3">
      <c r="A3" s="19" t="inlineStr">
        <is>
          <t>Website: www.example.com.sg  |  Reg. No.: xxxxxxxxxR  |  GST Reg. No.: GSTxxxxxxxxR</t>
        </is>
      </c>
    </row>
    <row r="5">
      <c r="A5" s="20" t="inlineStr">
        <is>
          <t>1st Owner:</t>
        </is>
      </c>
      <c r="B5" s="21" t="n"/>
      <c r="C5" s="20" t="inlineStr">
        <is>
          <t>NRIC No:</t>
        </is>
      </c>
      <c r="D5" s="21" t="n"/>
    </row>
    <row r="6">
      <c r="A6" s="20" t="inlineStr">
        <is>
          <t>2nd Owner:</t>
        </is>
      </c>
      <c r="B6" s="21" t="n"/>
      <c r="C6" s="20" t="inlineStr">
        <is>
          <t>NRIC No:</t>
        </is>
      </c>
      <c r="D6" s="21" t="n"/>
    </row>
    <row r="7">
      <c r="A7" s="20" t="inlineStr">
        <is>
          <t>Contact No (1st):</t>
        </is>
      </c>
      <c r="B7" s="21" t="n"/>
      <c r="C7" s="20" t="inlineStr">
        <is>
          <t>Contact No (2nd):</t>
        </is>
      </c>
      <c r="D7" s="21" t="n"/>
    </row>
    <row r="8">
      <c r="A8" s="20" t="inlineStr">
        <is>
          <t>E-mail:</t>
        </is>
      </c>
      <c r="B8" s="21" t="n"/>
      <c r="C8" s="22" t="n"/>
      <c r="D8" s="22" t="n"/>
    </row>
    <row r="9">
      <c r="A9" s="20" t="inlineStr">
        <is>
          <t>Premise Type:</t>
        </is>
      </c>
      <c r="B9" s="21" t="n"/>
      <c r="C9" s="20" t="inlineStr">
        <is>
          <t>Lock No:</t>
        </is>
      </c>
      <c r="D9" s="21" t="n"/>
    </row>
    <row r="10">
      <c r="A10" s="20" t="inlineStr">
        <is>
          <t>Site Address:</t>
        </is>
      </c>
      <c r="B10" s="21" t="n"/>
      <c r="C10" s="22" t="n"/>
      <c r="D10" s="22" t="n"/>
      <c r="E10" s="22" t="n"/>
      <c r="F10" s="22" t="n"/>
    </row>
    <row r="12" ht="24" customHeight="1">
      <c r="A12" s="23" t="inlineStr">
        <is>
          <t>RENOVATION QUOTATION</t>
        </is>
      </c>
    </row>
    <row r="13">
      <c r="A13" s="24" t="inlineStr">
        <is>
          <t>We confirm our renovation quotation to be undertaken by ICON INTERIOR DESIGN PTE LTD as per particulars listed hereunder:-</t>
        </is>
      </c>
    </row>
    <row r="14" ht="22" customHeight="1">
      <c r="A14" s="6" t="inlineStr">
        <is>
          <t>S/N</t>
        </is>
      </c>
      <c r="B14" s="6" t="inlineStr">
        <is>
          <t>Description</t>
        </is>
      </c>
      <c r="C14" s="6" t="inlineStr">
        <is>
          <t>Unit</t>
        </is>
      </c>
      <c r="D14" s="6" t="inlineStr">
        <is>
          <t>Qty</t>
        </is>
      </c>
      <c r="E14" s="6" t="inlineStr">
        <is>
          <t>Unit Price (S$)</t>
        </is>
      </c>
      <c r="F14" s="6" t="inlineStr">
        <is>
          <t>Amount (S$)</t>
        </is>
      </c>
    </row>
    <row r="15" ht="20" customHeight="1">
      <c r="A15" s="25" t="inlineStr">
        <is>
          <t>1.  Professional Services</t>
        </is>
      </c>
    </row>
    <row r="16">
      <c r="A16" s="26" t="inlineStr">
        <is>
          <t>1.1</t>
        </is>
      </c>
      <c r="B16" s="27" t="n"/>
      <c r="C16" s="28">
        <f>IFERROR(INDEX(Unit_Professional_Services,MATCH($B16,Desc_Professional_Services,0)),"")</f>
        <v/>
      </c>
      <c r="D16" s="29" t="n"/>
      <c r="E16" s="30">
        <f>IFERROR(INDEX(Sell_Professional_Services,MATCH($B16,Desc_Professional_Services,0)),0)</f>
        <v/>
      </c>
      <c r="F16" s="30">
        <f>IF(D16="",0,D16*E16)</f>
        <v/>
      </c>
    </row>
    <row r="17">
      <c r="A17" s="26" t="inlineStr">
        <is>
          <t>1.2</t>
        </is>
      </c>
      <c r="B17" s="27" t="n"/>
      <c r="C17" s="28">
        <f>IFERROR(INDEX(Unit_Professional_Services,MATCH($B17,Desc_Professional_Services,0)),"")</f>
        <v/>
      </c>
      <c r="D17" s="29" t="n"/>
      <c r="E17" s="30">
        <f>IFERROR(INDEX(Sell_Professional_Services,MATCH($B17,Desc_Professional_Services,0)),0)</f>
        <v/>
      </c>
      <c r="F17" s="30">
        <f>IF(D17="",0,D17*E17)</f>
        <v/>
      </c>
    </row>
    <row r="18">
      <c r="A18" s="26" t="inlineStr">
        <is>
          <t>1.3</t>
        </is>
      </c>
      <c r="B18" s="27" t="n"/>
      <c r="C18" s="28">
        <f>IFERROR(INDEX(Unit_Professional_Services,MATCH($B18,Desc_Professional_Services,0)),"")</f>
        <v/>
      </c>
      <c r="D18" s="29" t="n"/>
      <c r="E18" s="30">
        <f>IFERROR(INDEX(Sell_Professional_Services,MATCH($B18,Desc_Professional_Services,0)),0)</f>
        <v/>
      </c>
      <c r="F18" s="30">
        <f>IF(D18="",0,D18*E18)</f>
        <v/>
      </c>
    </row>
    <row r="19">
      <c r="A19" s="26" t="inlineStr">
        <is>
          <t>1.4</t>
        </is>
      </c>
      <c r="B19" s="27" t="n"/>
      <c r="C19" s="28">
        <f>IFERROR(INDEX(Unit_Professional_Services,MATCH($B19,Desc_Professional_Services,0)),"")</f>
        <v/>
      </c>
      <c r="D19" s="29" t="n"/>
      <c r="E19" s="30">
        <f>IFERROR(INDEX(Sell_Professional_Services,MATCH($B19,Desc_Professional_Services,0)),0)</f>
        <v/>
      </c>
      <c r="F19" s="30">
        <f>IF(D19="",0,D19*E19)</f>
        <v/>
      </c>
    </row>
    <row r="20">
      <c r="A20" s="26" t="inlineStr">
        <is>
          <t>1.5</t>
        </is>
      </c>
      <c r="B20" s="27" t="n"/>
      <c r="C20" s="28">
        <f>IFERROR(INDEX(Unit_Professional_Services,MATCH($B20,Desc_Professional_Services,0)),"")</f>
        <v/>
      </c>
      <c r="D20" s="29" t="n"/>
      <c r="E20" s="30">
        <f>IFERROR(INDEX(Sell_Professional_Services,MATCH($B20,Desc_Professional_Services,0)),0)</f>
        <v/>
      </c>
      <c r="F20" s="30">
        <f>IF(D20="",0,D20*E20)</f>
        <v/>
      </c>
    </row>
    <row r="21">
      <c r="A21" s="26" t="inlineStr">
        <is>
          <t>1.6</t>
        </is>
      </c>
      <c r="B21" s="27" t="n"/>
      <c r="C21" s="28">
        <f>IFERROR(INDEX(Unit_Professional_Services,MATCH($B21,Desc_Professional_Services,0)),"")</f>
        <v/>
      </c>
      <c r="D21" s="29" t="n"/>
      <c r="E21" s="30">
        <f>IFERROR(INDEX(Sell_Professional_Services,MATCH($B21,Desc_Professional_Services,0)),0)</f>
        <v/>
      </c>
      <c r="F21" s="30">
        <f>IF(D21="",0,D21*E21)</f>
        <v/>
      </c>
    </row>
    <row r="22">
      <c r="A22" s="31" t="inlineStr">
        <is>
          <t>SUBTOTAL</t>
        </is>
      </c>
      <c r="F22" s="32">
        <f>SUM(F16:F21)</f>
        <v/>
      </c>
    </row>
    <row r="24" ht="20" customHeight="1">
      <c r="A24" s="25" t="inlineStr">
        <is>
          <t>2.  Preliminaries Works</t>
        </is>
      </c>
    </row>
    <row r="25">
      <c r="A25" s="26" t="inlineStr">
        <is>
          <t>2.1</t>
        </is>
      </c>
      <c r="B25" s="27" t="n"/>
      <c r="C25" s="28">
        <f>IFERROR(INDEX(Unit_Preliminaries_Works,MATCH($B25,Desc_Preliminaries_Works,0)),"")</f>
        <v/>
      </c>
      <c r="D25" s="29" t="n"/>
      <c r="E25" s="30">
        <f>IFERROR(INDEX(Sell_Preliminaries_Works,MATCH($B25,Desc_Preliminaries_Works,0)),0)</f>
        <v/>
      </c>
      <c r="F25" s="30">
        <f>IF(D25="",0,D25*E25)</f>
        <v/>
      </c>
    </row>
    <row r="26">
      <c r="A26" s="26" t="inlineStr">
        <is>
          <t>2.2</t>
        </is>
      </c>
      <c r="B26" s="27" t="n"/>
      <c r="C26" s="28">
        <f>IFERROR(INDEX(Unit_Preliminaries_Works,MATCH($B26,Desc_Preliminaries_Works,0)),"")</f>
        <v/>
      </c>
      <c r="D26" s="29" t="n"/>
      <c r="E26" s="30">
        <f>IFERROR(INDEX(Sell_Preliminaries_Works,MATCH($B26,Desc_Preliminaries_Works,0)),0)</f>
        <v/>
      </c>
      <c r="F26" s="30">
        <f>IF(D26="",0,D26*E26)</f>
        <v/>
      </c>
    </row>
    <row r="27">
      <c r="A27" s="26" t="inlineStr">
        <is>
          <t>2.3</t>
        </is>
      </c>
      <c r="B27" s="27" t="n"/>
      <c r="C27" s="28">
        <f>IFERROR(INDEX(Unit_Preliminaries_Works,MATCH($B27,Desc_Preliminaries_Works,0)),"")</f>
        <v/>
      </c>
      <c r="D27" s="29" t="n"/>
      <c r="E27" s="30">
        <f>IFERROR(INDEX(Sell_Preliminaries_Works,MATCH($B27,Desc_Preliminaries_Works,0)),0)</f>
        <v/>
      </c>
      <c r="F27" s="30">
        <f>IF(D27="",0,D27*E27)</f>
        <v/>
      </c>
    </row>
    <row r="28">
      <c r="A28" s="26" t="inlineStr">
        <is>
          <t>2.4</t>
        </is>
      </c>
      <c r="B28" s="27" t="n"/>
      <c r="C28" s="28">
        <f>IFERROR(INDEX(Unit_Preliminaries_Works,MATCH($B28,Desc_Preliminaries_Works,0)),"")</f>
        <v/>
      </c>
      <c r="D28" s="29" t="n"/>
      <c r="E28" s="30">
        <f>IFERROR(INDEX(Sell_Preliminaries_Works,MATCH($B28,Desc_Preliminaries_Works,0)),0)</f>
        <v/>
      </c>
      <c r="F28" s="30">
        <f>IF(D28="",0,D28*E28)</f>
        <v/>
      </c>
    </row>
    <row r="29">
      <c r="A29" s="26" t="inlineStr">
        <is>
          <t>2.5</t>
        </is>
      </c>
      <c r="B29" s="27" t="n"/>
      <c r="C29" s="28">
        <f>IFERROR(INDEX(Unit_Preliminaries_Works,MATCH($B29,Desc_Preliminaries_Works,0)),"")</f>
        <v/>
      </c>
      <c r="D29" s="29" t="n"/>
      <c r="E29" s="30">
        <f>IFERROR(INDEX(Sell_Preliminaries_Works,MATCH($B29,Desc_Preliminaries_Works,0)),0)</f>
        <v/>
      </c>
      <c r="F29" s="30">
        <f>IF(D29="",0,D29*E29)</f>
        <v/>
      </c>
    </row>
    <row r="30">
      <c r="A30" s="26" t="inlineStr">
        <is>
          <t>2.6</t>
        </is>
      </c>
      <c r="B30" s="27" t="n"/>
      <c r="C30" s="28">
        <f>IFERROR(INDEX(Unit_Preliminaries_Works,MATCH($B30,Desc_Preliminaries_Works,0)),"")</f>
        <v/>
      </c>
      <c r="D30" s="29" t="n"/>
      <c r="E30" s="30">
        <f>IFERROR(INDEX(Sell_Preliminaries_Works,MATCH($B30,Desc_Preliminaries_Works,0)),0)</f>
        <v/>
      </c>
      <c r="F30" s="30">
        <f>IF(D30="",0,D30*E30)</f>
        <v/>
      </c>
    </row>
    <row r="31">
      <c r="A31" s="31" t="inlineStr">
        <is>
          <t>SUBTOTAL</t>
        </is>
      </c>
      <c r="F31" s="32">
        <f>SUM(F25:F30)</f>
        <v/>
      </c>
    </row>
    <row r="33" ht="20" customHeight="1">
      <c r="A33" s="25" t="inlineStr">
        <is>
          <t>3.  Remodeling Works (Hacking Works)</t>
        </is>
      </c>
    </row>
    <row r="34">
      <c r="A34" s="26" t="inlineStr">
        <is>
          <t>3.1</t>
        </is>
      </c>
      <c r="B34" s="27" t="n"/>
      <c r="C34" s="28">
        <f>IFERROR(INDEX(Unit_Remodeling_Works_Hacking_Works,MATCH($B34,Desc_Remodeling_Works_Hacking_Works,0)),"")</f>
        <v/>
      </c>
      <c r="D34" s="29" t="n"/>
      <c r="E34" s="30">
        <f>IFERROR(INDEX(Sell_Remodeling_Works_Hacking_Works,MATCH($B34,Desc_Remodeling_Works_Hacking_Works,0)),0)</f>
        <v/>
      </c>
      <c r="F34" s="30">
        <f>IF(D34="",0,D34*E34)</f>
        <v/>
      </c>
    </row>
    <row r="35">
      <c r="A35" s="26" t="inlineStr">
        <is>
          <t>3.2</t>
        </is>
      </c>
      <c r="B35" s="27" t="n"/>
      <c r="C35" s="28">
        <f>IFERROR(INDEX(Unit_Remodeling_Works_Hacking_Works,MATCH($B35,Desc_Remodeling_Works_Hacking_Works,0)),"")</f>
        <v/>
      </c>
      <c r="D35" s="29" t="n"/>
      <c r="E35" s="30">
        <f>IFERROR(INDEX(Sell_Remodeling_Works_Hacking_Works,MATCH($B35,Desc_Remodeling_Works_Hacking_Works,0)),0)</f>
        <v/>
      </c>
      <c r="F35" s="30">
        <f>IF(D35="",0,D35*E35)</f>
        <v/>
      </c>
    </row>
    <row r="36">
      <c r="A36" s="26" t="inlineStr">
        <is>
          <t>3.3</t>
        </is>
      </c>
      <c r="B36" s="27" t="n"/>
      <c r="C36" s="28">
        <f>IFERROR(INDEX(Unit_Remodeling_Works_Hacking_Works,MATCH($B36,Desc_Remodeling_Works_Hacking_Works,0)),"")</f>
        <v/>
      </c>
      <c r="D36" s="29" t="n"/>
      <c r="E36" s="30">
        <f>IFERROR(INDEX(Sell_Remodeling_Works_Hacking_Works,MATCH($B36,Desc_Remodeling_Works_Hacking_Works,0)),0)</f>
        <v/>
      </c>
      <c r="F36" s="30">
        <f>IF(D36="",0,D36*E36)</f>
        <v/>
      </c>
    </row>
    <row r="37">
      <c r="A37" s="26" t="inlineStr">
        <is>
          <t>3.4</t>
        </is>
      </c>
      <c r="B37" s="27" t="n"/>
      <c r="C37" s="28">
        <f>IFERROR(INDEX(Unit_Remodeling_Works_Hacking_Works,MATCH($B37,Desc_Remodeling_Works_Hacking_Works,0)),"")</f>
        <v/>
      </c>
      <c r="D37" s="29" t="n"/>
      <c r="E37" s="30">
        <f>IFERROR(INDEX(Sell_Remodeling_Works_Hacking_Works,MATCH($B37,Desc_Remodeling_Works_Hacking_Works,0)),0)</f>
        <v/>
      </c>
      <c r="F37" s="30">
        <f>IF(D37="",0,D37*E37)</f>
        <v/>
      </c>
    </row>
    <row r="38">
      <c r="A38" s="26" t="inlineStr">
        <is>
          <t>3.5</t>
        </is>
      </c>
      <c r="B38" s="27" t="n"/>
      <c r="C38" s="28">
        <f>IFERROR(INDEX(Unit_Remodeling_Works_Hacking_Works,MATCH($B38,Desc_Remodeling_Works_Hacking_Works,0)),"")</f>
        <v/>
      </c>
      <c r="D38" s="29" t="n"/>
      <c r="E38" s="30">
        <f>IFERROR(INDEX(Sell_Remodeling_Works_Hacking_Works,MATCH($B38,Desc_Remodeling_Works_Hacking_Works,0)),0)</f>
        <v/>
      </c>
      <c r="F38" s="30">
        <f>IF(D38="",0,D38*E38)</f>
        <v/>
      </c>
    </row>
    <row r="39">
      <c r="A39" s="26" t="inlineStr">
        <is>
          <t>3.6</t>
        </is>
      </c>
      <c r="B39" s="27" t="n"/>
      <c r="C39" s="28">
        <f>IFERROR(INDEX(Unit_Remodeling_Works_Hacking_Works,MATCH($B39,Desc_Remodeling_Works_Hacking_Works,0)),"")</f>
        <v/>
      </c>
      <c r="D39" s="29" t="n"/>
      <c r="E39" s="30">
        <f>IFERROR(INDEX(Sell_Remodeling_Works_Hacking_Works,MATCH($B39,Desc_Remodeling_Works_Hacking_Works,0)),0)</f>
        <v/>
      </c>
      <c r="F39" s="30">
        <f>IF(D39="",0,D39*E39)</f>
        <v/>
      </c>
    </row>
    <row r="40">
      <c r="A40" s="31" t="inlineStr">
        <is>
          <t>SUBTOTAL</t>
        </is>
      </c>
      <c r="F40" s="32">
        <f>SUM(F34:F39)</f>
        <v/>
      </c>
    </row>
    <row r="42" ht="20" customHeight="1">
      <c r="A42" s="25" t="inlineStr">
        <is>
          <t>4.  Plumbing Works</t>
        </is>
      </c>
    </row>
    <row r="43">
      <c r="A43" s="26" t="inlineStr">
        <is>
          <t>4.1</t>
        </is>
      </c>
      <c r="B43" s="27" t="n"/>
      <c r="C43" s="28">
        <f>IFERROR(INDEX(Unit_Plumbing_Works,MATCH($B43,Desc_Plumbing_Works,0)),"")</f>
        <v/>
      </c>
      <c r="D43" s="29" t="n"/>
      <c r="E43" s="30">
        <f>IFERROR(INDEX(Sell_Plumbing_Works,MATCH($B43,Desc_Plumbing_Works,0)),0)</f>
        <v/>
      </c>
      <c r="F43" s="30">
        <f>IF(D43="",0,D43*E43)</f>
        <v/>
      </c>
    </row>
    <row r="44">
      <c r="A44" s="26" t="inlineStr">
        <is>
          <t>4.2</t>
        </is>
      </c>
      <c r="B44" s="27" t="n"/>
      <c r="C44" s="28">
        <f>IFERROR(INDEX(Unit_Plumbing_Works,MATCH($B44,Desc_Plumbing_Works,0)),"")</f>
        <v/>
      </c>
      <c r="D44" s="29" t="n"/>
      <c r="E44" s="30">
        <f>IFERROR(INDEX(Sell_Plumbing_Works,MATCH($B44,Desc_Plumbing_Works,0)),0)</f>
        <v/>
      </c>
      <c r="F44" s="30">
        <f>IF(D44="",0,D44*E44)</f>
        <v/>
      </c>
    </row>
    <row r="45">
      <c r="A45" s="26" t="inlineStr">
        <is>
          <t>4.3</t>
        </is>
      </c>
      <c r="B45" s="27" t="n"/>
      <c r="C45" s="28">
        <f>IFERROR(INDEX(Unit_Plumbing_Works,MATCH($B45,Desc_Plumbing_Works,0)),"")</f>
        <v/>
      </c>
      <c r="D45" s="29" t="n"/>
      <c r="E45" s="30">
        <f>IFERROR(INDEX(Sell_Plumbing_Works,MATCH($B45,Desc_Plumbing_Works,0)),0)</f>
        <v/>
      </c>
      <c r="F45" s="30">
        <f>IF(D45="",0,D45*E45)</f>
        <v/>
      </c>
    </row>
    <row r="46">
      <c r="A46" s="26" t="inlineStr">
        <is>
          <t>4.4</t>
        </is>
      </c>
      <c r="B46" s="27" t="n"/>
      <c r="C46" s="28">
        <f>IFERROR(INDEX(Unit_Plumbing_Works,MATCH($B46,Desc_Plumbing_Works,0)),"")</f>
        <v/>
      </c>
      <c r="D46" s="29" t="n"/>
      <c r="E46" s="30">
        <f>IFERROR(INDEX(Sell_Plumbing_Works,MATCH($B46,Desc_Plumbing_Works,0)),0)</f>
        <v/>
      </c>
      <c r="F46" s="30">
        <f>IF(D46="",0,D46*E46)</f>
        <v/>
      </c>
    </row>
    <row r="47">
      <c r="A47" s="26" t="inlineStr">
        <is>
          <t>4.5</t>
        </is>
      </c>
      <c r="B47" s="27" t="n"/>
      <c r="C47" s="28">
        <f>IFERROR(INDEX(Unit_Plumbing_Works,MATCH($B47,Desc_Plumbing_Works,0)),"")</f>
        <v/>
      </c>
      <c r="D47" s="29" t="n"/>
      <c r="E47" s="30">
        <f>IFERROR(INDEX(Sell_Plumbing_Works,MATCH($B47,Desc_Plumbing_Works,0)),0)</f>
        <v/>
      </c>
      <c r="F47" s="30">
        <f>IF(D47="",0,D47*E47)</f>
        <v/>
      </c>
    </row>
    <row r="48">
      <c r="A48" s="26" t="inlineStr">
        <is>
          <t>4.6</t>
        </is>
      </c>
      <c r="B48" s="27" t="n"/>
      <c r="C48" s="28">
        <f>IFERROR(INDEX(Unit_Plumbing_Works,MATCH($B48,Desc_Plumbing_Works,0)),"")</f>
        <v/>
      </c>
      <c r="D48" s="29" t="n"/>
      <c r="E48" s="30">
        <f>IFERROR(INDEX(Sell_Plumbing_Works,MATCH($B48,Desc_Plumbing_Works,0)),0)</f>
        <v/>
      </c>
      <c r="F48" s="30">
        <f>IF(D48="",0,D48*E48)</f>
        <v/>
      </c>
    </row>
    <row r="49">
      <c r="A49" s="31" t="inlineStr">
        <is>
          <t>SUBTOTAL</t>
        </is>
      </c>
      <c r="F49" s="32">
        <f>SUM(F43:F48)</f>
        <v/>
      </c>
    </row>
    <row r="51" ht="20" customHeight="1">
      <c r="A51" s="25" t="inlineStr">
        <is>
          <t>5.  Masonry Works</t>
        </is>
      </c>
    </row>
    <row r="52">
      <c r="A52" s="26" t="inlineStr">
        <is>
          <t>5.1</t>
        </is>
      </c>
      <c r="B52" s="27" t="n"/>
      <c r="C52" s="28">
        <f>IFERROR(INDEX(Unit_Masonry_Works,MATCH($B52,Desc_Masonry_Works,0)),"")</f>
        <v/>
      </c>
      <c r="D52" s="29" t="n"/>
      <c r="E52" s="30">
        <f>IFERROR(INDEX(Sell_Masonry_Works,MATCH($B52,Desc_Masonry_Works,0)),0)</f>
        <v/>
      </c>
      <c r="F52" s="30">
        <f>IF(D52="",0,D52*E52)</f>
        <v/>
      </c>
    </row>
    <row r="53">
      <c r="A53" s="26" t="inlineStr">
        <is>
          <t>5.2</t>
        </is>
      </c>
      <c r="B53" s="27" t="n"/>
      <c r="C53" s="28">
        <f>IFERROR(INDEX(Unit_Masonry_Works,MATCH($B53,Desc_Masonry_Works,0)),"")</f>
        <v/>
      </c>
      <c r="D53" s="29" t="n"/>
      <c r="E53" s="30">
        <f>IFERROR(INDEX(Sell_Masonry_Works,MATCH($B53,Desc_Masonry_Works,0)),0)</f>
        <v/>
      </c>
      <c r="F53" s="30">
        <f>IF(D53="",0,D53*E53)</f>
        <v/>
      </c>
    </row>
    <row r="54">
      <c r="A54" s="26" t="inlineStr">
        <is>
          <t>5.3</t>
        </is>
      </c>
      <c r="B54" s="27" t="n"/>
      <c r="C54" s="28">
        <f>IFERROR(INDEX(Unit_Masonry_Works,MATCH($B54,Desc_Masonry_Works,0)),"")</f>
        <v/>
      </c>
      <c r="D54" s="29" t="n"/>
      <c r="E54" s="30">
        <f>IFERROR(INDEX(Sell_Masonry_Works,MATCH($B54,Desc_Masonry_Works,0)),0)</f>
        <v/>
      </c>
      <c r="F54" s="30">
        <f>IF(D54="",0,D54*E54)</f>
        <v/>
      </c>
    </row>
    <row r="55">
      <c r="A55" s="26" t="inlineStr">
        <is>
          <t>5.4</t>
        </is>
      </c>
      <c r="B55" s="27" t="n"/>
      <c r="C55" s="28">
        <f>IFERROR(INDEX(Unit_Masonry_Works,MATCH($B55,Desc_Masonry_Works,0)),"")</f>
        <v/>
      </c>
      <c r="D55" s="29" t="n"/>
      <c r="E55" s="30">
        <f>IFERROR(INDEX(Sell_Masonry_Works,MATCH($B55,Desc_Masonry_Works,0)),0)</f>
        <v/>
      </c>
      <c r="F55" s="30">
        <f>IF(D55="",0,D55*E55)</f>
        <v/>
      </c>
    </row>
    <row r="56">
      <c r="A56" s="26" t="inlineStr">
        <is>
          <t>5.5</t>
        </is>
      </c>
      <c r="B56" s="27" t="n"/>
      <c r="C56" s="28">
        <f>IFERROR(INDEX(Unit_Masonry_Works,MATCH($B56,Desc_Masonry_Works,0)),"")</f>
        <v/>
      </c>
      <c r="D56" s="29" t="n"/>
      <c r="E56" s="30">
        <f>IFERROR(INDEX(Sell_Masonry_Works,MATCH($B56,Desc_Masonry_Works,0)),0)</f>
        <v/>
      </c>
      <c r="F56" s="30">
        <f>IF(D56="",0,D56*E56)</f>
        <v/>
      </c>
    </row>
    <row r="57">
      <c r="A57" s="26" t="inlineStr">
        <is>
          <t>5.6</t>
        </is>
      </c>
      <c r="B57" s="27" t="n"/>
      <c r="C57" s="28">
        <f>IFERROR(INDEX(Unit_Masonry_Works,MATCH($B57,Desc_Masonry_Works,0)),"")</f>
        <v/>
      </c>
      <c r="D57" s="29" t="n"/>
      <c r="E57" s="30">
        <f>IFERROR(INDEX(Sell_Masonry_Works,MATCH($B57,Desc_Masonry_Works,0)),0)</f>
        <v/>
      </c>
      <c r="F57" s="30">
        <f>IF(D57="",0,D57*E57)</f>
        <v/>
      </c>
    </row>
    <row r="58">
      <c r="A58" s="31" t="inlineStr">
        <is>
          <t>SUBTOTAL</t>
        </is>
      </c>
      <c r="F58" s="32">
        <f>SUM(F52:F57)</f>
        <v/>
      </c>
    </row>
    <row r="60" ht="20" customHeight="1">
      <c r="A60" s="25" t="inlineStr">
        <is>
          <t>6.  Waterproofing Works</t>
        </is>
      </c>
    </row>
    <row r="61">
      <c r="A61" s="26" t="inlineStr">
        <is>
          <t>6.1</t>
        </is>
      </c>
      <c r="B61" s="27" t="n"/>
      <c r="C61" s="28">
        <f>IFERROR(INDEX(Unit_Waterproofing_Works,MATCH($B61,Desc_Waterproofing_Works,0)),"")</f>
        <v/>
      </c>
      <c r="D61" s="29" t="n"/>
      <c r="E61" s="30">
        <f>IFERROR(INDEX(Sell_Waterproofing_Works,MATCH($B61,Desc_Waterproofing_Works,0)),0)</f>
        <v/>
      </c>
      <c r="F61" s="30">
        <f>IF(D61="",0,D61*E61)</f>
        <v/>
      </c>
    </row>
    <row r="62">
      <c r="A62" s="26" t="inlineStr">
        <is>
          <t>6.2</t>
        </is>
      </c>
      <c r="B62" s="27" t="n"/>
      <c r="C62" s="28">
        <f>IFERROR(INDEX(Unit_Waterproofing_Works,MATCH($B62,Desc_Waterproofing_Works,0)),"")</f>
        <v/>
      </c>
      <c r="D62" s="29" t="n"/>
      <c r="E62" s="30">
        <f>IFERROR(INDEX(Sell_Waterproofing_Works,MATCH($B62,Desc_Waterproofing_Works,0)),0)</f>
        <v/>
      </c>
      <c r="F62" s="30">
        <f>IF(D62="",0,D62*E62)</f>
        <v/>
      </c>
    </row>
    <row r="63">
      <c r="A63" s="26" t="inlineStr">
        <is>
          <t>6.3</t>
        </is>
      </c>
      <c r="B63" s="27" t="n"/>
      <c r="C63" s="28">
        <f>IFERROR(INDEX(Unit_Waterproofing_Works,MATCH($B63,Desc_Waterproofing_Works,0)),"")</f>
        <v/>
      </c>
      <c r="D63" s="29" t="n"/>
      <c r="E63" s="30">
        <f>IFERROR(INDEX(Sell_Waterproofing_Works,MATCH($B63,Desc_Waterproofing_Works,0)),0)</f>
        <v/>
      </c>
      <c r="F63" s="30">
        <f>IF(D63="",0,D63*E63)</f>
        <v/>
      </c>
    </row>
    <row r="64">
      <c r="A64" s="26" t="inlineStr">
        <is>
          <t>6.4</t>
        </is>
      </c>
      <c r="B64" s="27" t="n"/>
      <c r="C64" s="28">
        <f>IFERROR(INDEX(Unit_Waterproofing_Works,MATCH($B64,Desc_Waterproofing_Works,0)),"")</f>
        <v/>
      </c>
      <c r="D64" s="29" t="n"/>
      <c r="E64" s="30">
        <f>IFERROR(INDEX(Sell_Waterproofing_Works,MATCH($B64,Desc_Waterproofing_Works,0)),0)</f>
        <v/>
      </c>
      <c r="F64" s="30">
        <f>IF(D64="",0,D64*E64)</f>
        <v/>
      </c>
    </row>
    <row r="65">
      <c r="A65" s="26" t="inlineStr">
        <is>
          <t>6.5</t>
        </is>
      </c>
      <c r="B65" s="27" t="n"/>
      <c r="C65" s="28">
        <f>IFERROR(INDEX(Unit_Waterproofing_Works,MATCH($B65,Desc_Waterproofing_Works,0)),"")</f>
        <v/>
      </c>
      <c r="D65" s="29" t="n"/>
      <c r="E65" s="30">
        <f>IFERROR(INDEX(Sell_Waterproofing_Works,MATCH($B65,Desc_Waterproofing_Works,0)),0)</f>
        <v/>
      </c>
      <c r="F65" s="30">
        <f>IF(D65="",0,D65*E65)</f>
        <v/>
      </c>
    </row>
    <row r="66">
      <c r="A66" s="26" t="inlineStr">
        <is>
          <t>6.6</t>
        </is>
      </c>
      <c r="B66" s="27" t="n"/>
      <c r="C66" s="28">
        <f>IFERROR(INDEX(Unit_Waterproofing_Works,MATCH($B66,Desc_Waterproofing_Works,0)),"")</f>
        <v/>
      </c>
      <c r="D66" s="29" t="n"/>
      <c r="E66" s="30">
        <f>IFERROR(INDEX(Sell_Waterproofing_Works,MATCH($B66,Desc_Waterproofing_Works,0)),0)</f>
        <v/>
      </c>
      <c r="F66" s="30">
        <f>IF(D66="",0,D66*E66)</f>
        <v/>
      </c>
    </row>
    <row r="67">
      <c r="A67" s="31" t="inlineStr">
        <is>
          <t>SUBTOTAL</t>
        </is>
      </c>
      <c r="F67" s="32">
        <f>SUM(F61:F66)</f>
        <v/>
      </c>
    </row>
    <row r="69" ht="20" customHeight="1">
      <c r="A69" s="25" t="inlineStr">
        <is>
          <t>7.  Plasterceil Works</t>
        </is>
      </c>
    </row>
    <row r="70">
      <c r="A70" s="26" t="inlineStr">
        <is>
          <t>7.1</t>
        </is>
      </c>
      <c r="B70" s="27" t="n"/>
      <c r="C70" s="28">
        <f>IFERROR(INDEX(Unit_Plasterceil_Works,MATCH($B70,Desc_Plasterceil_Works,0)),"")</f>
        <v/>
      </c>
      <c r="D70" s="29" t="n"/>
      <c r="E70" s="30">
        <f>IFERROR(INDEX(Sell_Plasterceil_Works,MATCH($B70,Desc_Plasterceil_Works,0)),0)</f>
        <v/>
      </c>
      <c r="F70" s="30">
        <f>IF(D70="",0,D70*E70)</f>
        <v/>
      </c>
    </row>
    <row r="71">
      <c r="A71" s="26" t="inlineStr">
        <is>
          <t>7.2</t>
        </is>
      </c>
      <c r="B71" s="27" t="n"/>
      <c r="C71" s="28">
        <f>IFERROR(INDEX(Unit_Plasterceil_Works,MATCH($B71,Desc_Plasterceil_Works,0)),"")</f>
        <v/>
      </c>
      <c r="D71" s="29" t="n"/>
      <c r="E71" s="30">
        <f>IFERROR(INDEX(Sell_Plasterceil_Works,MATCH($B71,Desc_Plasterceil_Works,0)),0)</f>
        <v/>
      </c>
      <c r="F71" s="30">
        <f>IF(D71="",0,D71*E71)</f>
        <v/>
      </c>
    </row>
    <row r="72">
      <c r="A72" s="26" t="inlineStr">
        <is>
          <t>7.3</t>
        </is>
      </c>
      <c r="B72" s="27" t="n"/>
      <c r="C72" s="28">
        <f>IFERROR(INDEX(Unit_Plasterceil_Works,MATCH($B72,Desc_Plasterceil_Works,0)),"")</f>
        <v/>
      </c>
      <c r="D72" s="29" t="n"/>
      <c r="E72" s="30">
        <f>IFERROR(INDEX(Sell_Plasterceil_Works,MATCH($B72,Desc_Plasterceil_Works,0)),0)</f>
        <v/>
      </c>
      <c r="F72" s="30">
        <f>IF(D72="",0,D72*E72)</f>
        <v/>
      </c>
    </row>
    <row r="73">
      <c r="A73" s="26" t="inlineStr">
        <is>
          <t>7.4</t>
        </is>
      </c>
      <c r="B73" s="27" t="n"/>
      <c r="C73" s="28">
        <f>IFERROR(INDEX(Unit_Plasterceil_Works,MATCH($B73,Desc_Plasterceil_Works,0)),"")</f>
        <v/>
      </c>
      <c r="D73" s="29" t="n"/>
      <c r="E73" s="30">
        <f>IFERROR(INDEX(Sell_Plasterceil_Works,MATCH($B73,Desc_Plasterceil_Works,0)),0)</f>
        <v/>
      </c>
      <c r="F73" s="30">
        <f>IF(D73="",0,D73*E73)</f>
        <v/>
      </c>
    </row>
    <row r="74">
      <c r="A74" s="26" t="inlineStr">
        <is>
          <t>7.5</t>
        </is>
      </c>
      <c r="B74" s="27" t="n"/>
      <c r="C74" s="28">
        <f>IFERROR(INDEX(Unit_Plasterceil_Works,MATCH($B74,Desc_Plasterceil_Works,0)),"")</f>
        <v/>
      </c>
      <c r="D74" s="29" t="n"/>
      <c r="E74" s="30">
        <f>IFERROR(INDEX(Sell_Plasterceil_Works,MATCH($B74,Desc_Plasterceil_Works,0)),0)</f>
        <v/>
      </c>
      <c r="F74" s="30">
        <f>IF(D74="",0,D74*E74)</f>
        <v/>
      </c>
    </row>
    <row r="75">
      <c r="A75" s="26" t="inlineStr">
        <is>
          <t>7.6</t>
        </is>
      </c>
      <c r="B75" s="27" t="n"/>
      <c r="C75" s="28">
        <f>IFERROR(INDEX(Unit_Plasterceil_Works,MATCH($B75,Desc_Plasterceil_Works,0)),"")</f>
        <v/>
      </c>
      <c r="D75" s="29" t="n"/>
      <c r="E75" s="30">
        <f>IFERROR(INDEX(Sell_Plasterceil_Works,MATCH($B75,Desc_Plasterceil_Works,0)),0)</f>
        <v/>
      </c>
      <c r="F75" s="30">
        <f>IF(D75="",0,D75*E75)</f>
        <v/>
      </c>
    </row>
    <row r="76">
      <c r="A76" s="31" t="inlineStr">
        <is>
          <t>SUBTOTAL</t>
        </is>
      </c>
      <c r="F76" s="32">
        <f>SUM(F70:F75)</f>
        <v/>
      </c>
    </row>
    <row r="78" ht="20" customHeight="1">
      <c r="A78" s="25" t="inlineStr">
        <is>
          <t>8.  Plastering Works</t>
        </is>
      </c>
    </row>
    <row r="79">
      <c r="A79" s="26" t="inlineStr">
        <is>
          <t>8.1</t>
        </is>
      </c>
      <c r="B79" s="27" t="n"/>
      <c r="C79" s="28">
        <f>IFERROR(INDEX(Unit_Plastering_Works,MATCH($B79,Desc_Plastering_Works,0)),"")</f>
        <v/>
      </c>
      <c r="D79" s="29" t="n"/>
      <c r="E79" s="30">
        <f>IFERROR(INDEX(Sell_Plastering_Works,MATCH($B79,Desc_Plastering_Works,0)),0)</f>
        <v/>
      </c>
      <c r="F79" s="30">
        <f>IF(D79="",0,D79*E79)</f>
        <v/>
      </c>
    </row>
    <row r="80">
      <c r="A80" s="26" t="inlineStr">
        <is>
          <t>8.2</t>
        </is>
      </c>
      <c r="B80" s="27" t="n"/>
      <c r="C80" s="28">
        <f>IFERROR(INDEX(Unit_Plastering_Works,MATCH($B80,Desc_Plastering_Works,0)),"")</f>
        <v/>
      </c>
      <c r="D80" s="29" t="n"/>
      <c r="E80" s="30">
        <f>IFERROR(INDEX(Sell_Plastering_Works,MATCH($B80,Desc_Plastering_Works,0)),0)</f>
        <v/>
      </c>
      <c r="F80" s="30">
        <f>IF(D80="",0,D80*E80)</f>
        <v/>
      </c>
    </row>
    <row r="81">
      <c r="A81" s="26" t="inlineStr">
        <is>
          <t>8.3</t>
        </is>
      </c>
      <c r="B81" s="27" t="n"/>
      <c r="C81" s="28">
        <f>IFERROR(INDEX(Unit_Plastering_Works,MATCH($B81,Desc_Plastering_Works,0)),"")</f>
        <v/>
      </c>
      <c r="D81" s="29" t="n"/>
      <c r="E81" s="30">
        <f>IFERROR(INDEX(Sell_Plastering_Works,MATCH($B81,Desc_Plastering_Works,0)),0)</f>
        <v/>
      </c>
      <c r="F81" s="30">
        <f>IF(D81="",0,D81*E81)</f>
        <v/>
      </c>
    </row>
    <row r="82">
      <c r="A82" s="26" t="inlineStr">
        <is>
          <t>8.4</t>
        </is>
      </c>
      <c r="B82" s="27" t="n"/>
      <c r="C82" s="28">
        <f>IFERROR(INDEX(Unit_Plastering_Works,MATCH($B82,Desc_Plastering_Works,0)),"")</f>
        <v/>
      </c>
      <c r="D82" s="29" t="n"/>
      <c r="E82" s="30">
        <f>IFERROR(INDEX(Sell_Plastering_Works,MATCH($B82,Desc_Plastering_Works,0)),0)</f>
        <v/>
      </c>
      <c r="F82" s="30">
        <f>IF(D82="",0,D82*E82)</f>
        <v/>
      </c>
    </row>
    <row r="83">
      <c r="A83" s="26" t="inlineStr">
        <is>
          <t>8.5</t>
        </is>
      </c>
      <c r="B83" s="27" t="n"/>
      <c r="C83" s="28">
        <f>IFERROR(INDEX(Unit_Plastering_Works,MATCH($B83,Desc_Plastering_Works,0)),"")</f>
        <v/>
      </c>
      <c r="D83" s="29" t="n"/>
      <c r="E83" s="30">
        <f>IFERROR(INDEX(Sell_Plastering_Works,MATCH($B83,Desc_Plastering_Works,0)),0)</f>
        <v/>
      </c>
      <c r="F83" s="30">
        <f>IF(D83="",0,D83*E83)</f>
        <v/>
      </c>
    </row>
    <row r="84">
      <c r="A84" s="26" t="inlineStr">
        <is>
          <t>8.6</t>
        </is>
      </c>
      <c r="B84" s="27" t="n"/>
      <c r="C84" s="28">
        <f>IFERROR(INDEX(Unit_Plastering_Works,MATCH($B84,Desc_Plastering_Works,0)),"")</f>
        <v/>
      </c>
      <c r="D84" s="29" t="n"/>
      <c r="E84" s="30">
        <f>IFERROR(INDEX(Sell_Plastering_Works,MATCH($B84,Desc_Plastering_Works,0)),0)</f>
        <v/>
      </c>
      <c r="F84" s="30">
        <f>IF(D84="",0,D84*E84)</f>
        <v/>
      </c>
    </row>
    <row r="85">
      <c r="A85" s="31" t="inlineStr">
        <is>
          <t>SUBTOTAL</t>
        </is>
      </c>
      <c r="F85" s="32">
        <f>SUM(F79:F84)</f>
        <v/>
      </c>
    </row>
    <row r="87" ht="20" customHeight="1">
      <c r="A87" s="25" t="inlineStr">
        <is>
          <t>9.  Painting Works</t>
        </is>
      </c>
    </row>
    <row r="88">
      <c r="A88" s="26" t="inlineStr">
        <is>
          <t>9.1</t>
        </is>
      </c>
      <c r="B88" s="27" t="n"/>
      <c r="C88" s="28">
        <f>IFERROR(INDEX(Unit_Painting_Works,MATCH($B88,Desc_Painting_Works,0)),"")</f>
        <v/>
      </c>
      <c r="D88" s="29" t="n"/>
      <c r="E88" s="30">
        <f>IFERROR(INDEX(Sell_Painting_Works,MATCH($B88,Desc_Painting_Works,0)),0)</f>
        <v/>
      </c>
      <c r="F88" s="30">
        <f>IF(D88="",0,D88*E88)</f>
        <v/>
      </c>
    </row>
    <row r="89">
      <c r="A89" s="26" t="inlineStr">
        <is>
          <t>9.2</t>
        </is>
      </c>
      <c r="B89" s="27" t="n"/>
      <c r="C89" s="28">
        <f>IFERROR(INDEX(Unit_Painting_Works,MATCH($B89,Desc_Painting_Works,0)),"")</f>
        <v/>
      </c>
      <c r="D89" s="29" t="n"/>
      <c r="E89" s="30">
        <f>IFERROR(INDEX(Sell_Painting_Works,MATCH($B89,Desc_Painting_Works,0)),0)</f>
        <v/>
      </c>
      <c r="F89" s="30">
        <f>IF(D89="",0,D89*E89)</f>
        <v/>
      </c>
    </row>
    <row r="90">
      <c r="A90" s="26" t="inlineStr">
        <is>
          <t>9.3</t>
        </is>
      </c>
      <c r="B90" s="27" t="n"/>
      <c r="C90" s="28">
        <f>IFERROR(INDEX(Unit_Painting_Works,MATCH($B90,Desc_Painting_Works,0)),"")</f>
        <v/>
      </c>
      <c r="D90" s="29" t="n"/>
      <c r="E90" s="30">
        <f>IFERROR(INDEX(Sell_Painting_Works,MATCH($B90,Desc_Painting_Works,0)),0)</f>
        <v/>
      </c>
      <c r="F90" s="30">
        <f>IF(D90="",0,D90*E90)</f>
        <v/>
      </c>
    </row>
    <row r="91">
      <c r="A91" s="26" t="inlineStr">
        <is>
          <t>9.4</t>
        </is>
      </c>
      <c r="B91" s="27" t="n"/>
      <c r="C91" s="28">
        <f>IFERROR(INDEX(Unit_Painting_Works,MATCH($B91,Desc_Painting_Works,0)),"")</f>
        <v/>
      </c>
      <c r="D91" s="29" t="n"/>
      <c r="E91" s="30">
        <f>IFERROR(INDEX(Sell_Painting_Works,MATCH($B91,Desc_Painting_Works,0)),0)</f>
        <v/>
      </c>
      <c r="F91" s="30">
        <f>IF(D91="",0,D91*E91)</f>
        <v/>
      </c>
    </row>
    <row r="92">
      <c r="A92" s="26" t="inlineStr">
        <is>
          <t>9.5</t>
        </is>
      </c>
      <c r="B92" s="27" t="n"/>
      <c r="C92" s="28">
        <f>IFERROR(INDEX(Unit_Painting_Works,MATCH($B92,Desc_Painting_Works,0)),"")</f>
        <v/>
      </c>
      <c r="D92" s="29" t="n"/>
      <c r="E92" s="30">
        <f>IFERROR(INDEX(Sell_Painting_Works,MATCH($B92,Desc_Painting_Works,0)),0)</f>
        <v/>
      </c>
      <c r="F92" s="30">
        <f>IF(D92="",0,D92*E92)</f>
        <v/>
      </c>
    </row>
    <row r="93">
      <c r="A93" s="26" t="inlineStr">
        <is>
          <t>9.6</t>
        </is>
      </c>
      <c r="B93" s="27" t="n"/>
      <c r="C93" s="28">
        <f>IFERROR(INDEX(Unit_Painting_Works,MATCH($B93,Desc_Painting_Works,0)),"")</f>
        <v/>
      </c>
      <c r="D93" s="29" t="n"/>
      <c r="E93" s="30">
        <f>IFERROR(INDEX(Sell_Painting_Works,MATCH($B93,Desc_Painting_Works,0)),0)</f>
        <v/>
      </c>
      <c r="F93" s="30">
        <f>IF(D93="",0,D93*E93)</f>
        <v/>
      </c>
    </row>
    <row r="94">
      <c r="A94" s="31" t="inlineStr">
        <is>
          <t>SUBTOTAL</t>
        </is>
      </c>
      <c r="F94" s="32">
        <f>SUM(F88:F93)</f>
        <v/>
      </c>
    </row>
    <row r="96" ht="20" customHeight="1">
      <c r="A96" s="25" t="inlineStr">
        <is>
          <t>10.  Glass Works</t>
        </is>
      </c>
    </row>
    <row r="97">
      <c r="A97" s="26" t="inlineStr">
        <is>
          <t>10.1</t>
        </is>
      </c>
      <c r="B97" s="27" t="n"/>
      <c r="C97" s="28">
        <f>IFERROR(INDEX(Unit_Glass_Works,MATCH($B97,Desc_Glass_Works,0)),"")</f>
        <v/>
      </c>
      <c r="D97" s="29" t="n"/>
      <c r="E97" s="30">
        <f>IFERROR(INDEX(Sell_Glass_Works,MATCH($B97,Desc_Glass_Works,0)),0)</f>
        <v/>
      </c>
      <c r="F97" s="30">
        <f>IF(D97="",0,D97*E97)</f>
        <v/>
      </c>
    </row>
    <row r="98">
      <c r="A98" s="26" t="inlineStr">
        <is>
          <t>10.2</t>
        </is>
      </c>
      <c r="B98" s="27" t="n"/>
      <c r="C98" s="28">
        <f>IFERROR(INDEX(Unit_Glass_Works,MATCH($B98,Desc_Glass_Works,0)),"")</f>
        <v/>
      </c>
      <c r="D98" s="29" t="n"/>
      <c r="E98" s="30">
        <f>IFERROR(INDEX(Sell_Glass_Works,MATCH($B98,Desc_Glass_Works,0)),0)</f>
        <v/>
      </c>
      <c r="F98" s="30">
        <f>IF(D98="",0,D98*E98)</f>
        <v/>
      </c>
    </row>
    <row r="99">
      <c r="A99" s="26" t="inlineStr">
        <is>
          <t>10.3</t>
        </is>
      </c>
      <c r="B99" s="27" t="n"/>
      <c r="C99" s="28">
        <f>IFERROR(INDEX(Unit_Glass_Works,MATCH($B99,Desc_Glass_Works,0)),"")</f>
        <v/>
      </c>
      <c r="D99" s="29" t="n"/>
      <c r="E99" s="30">
        <f>IFERROR(INDEX(Sell_Glass_Works,MATCH($B99,Desc_Glass_Works,0)),0)</f>
        <v/>
      </c>
      <c r="F99" s="30">
        <f>IF(D99="",0,D99*E99)</f>
        <v/>
      </c>
    </row>
    <row r="100">
      <c r="A100" s="26" t="inlineStr">
        <is>
          <t>10.4</t>
        </is>
      </c>
      <c r="B100" s="27" t="n"/>
      <c r="C100" s="28">
        <f>IFERROR(INDEX(Unit_Glass_Works,MATCH($B100,Desc_Glass_Works,0)),"")</f>
        <v/>
      </c>
      <c r="D100" s="29" t="n"/>
      <c r="E100" s="30">
        <f>IFERROR(INDEX(Sell_Glass_Works,MATCH($B100,Desc_Glass_Works,0)),0)</f>
        <v/>
      </c>
      <c r="F100" s="30">
        <f>IF(D100="",0,D100*E100)</f>
        <v/>
      </c>
    </row>
    <row r="101">
      <c r="A101" s="26" t="inlineStr">
        <is>
          <t>10.5</t>
        </is>
      </c>
      <c r="B101" s="27" t="n"/>
      <c r="C101" s="28">
        <f>IFERROR(INDEX(Unit_Glass_Works,MATCH($B101,Desc_Glass_Works,0)),"")</f>
        <v/>
      </c>
      <c r="D101" s="29" t="n"/>
      <c r="E101" s="30">
        <f>IFERROR(INDEX(Sell_Glass_Works,MATCH($B101,Desc_Glass_Works,0)),0)</f>
        <v/>
      </c>
      <c r="F101" s="30">
        <f>IF(D101="",0,D101*E101)</f>
        <v/>
      </c>
    </row>
    <row r="102">
      <c r="A102" s="26" t="inlineStr">
        <is>
          <t>10.6</t>
        </is>
      </c>
      <c r="B102" s="27" t="n"/>
      <c r="C102" s="28">
        <f>IFERROR(INDEX(Unit_Glass_Works,MATCH($B102,Desc_Glass_Works,0)),"")</f>
        <v/>
      </c>
      <c r="D102" s="29" t="n"/>
      <c r="E102" s="30">
        <f>IFERROR(INDEX(Sell_Glass_Works,MATCH($B102,Desc_Glass_Works,0)),0)</f>
        <v/>
      </c>
      <c r="F102" s="30">
        <f>IF(D102="",0,D102*E102)</f>
        <v/>
      </c>
    </row>
    <row r="103">
      <c r="A103" s="31" t="inlineStr">
        <is>
          <t>SUBTOTAL</t>
        </is>
      </c>
      <c r="F103" s="32">
        <f>SUM(F97:F102)</f>
        <v/>
      </c>
    </row>
    <row r="105" ht="20" customHeight="1">
      <c r="A105" s="25" t="inlineStr">
        <is>
          <t>11.  Aluminium And Steel Works</t>
        </is>
      </c>
    </row>
    <row r="106">
      <c r="A106" s="26" t="inlineStr">
        <is>
          <t>11.1</t>
        </is>
      </c>
      <c r="B106" s="27" t="n"/>
      <c r="C106" s="28">
        <f>IFERROR(INDEX(Unit_Aluminium_And_Steel_Works,MATCH($B106,Desc_Aluminium_And_Steel_Works,0)),"")</f>
        <v/>
      </c>
      <c r="D106" s="29" t="n"/>
      <c r="E106" s="30">
        <f>IFERROR(INDEX(Sell_Aluminium_And_Steel_Works,MATCH($B106,Desc_Aluminium_And_Steel_Works,0)),0)</f>
        <v/>
      </c>
      <c r="F106" s="30">
        <f>IF(D106="",0,D106*E106)</f>
        <v/>
      </c>
    </row>
    <row r="107">
      <c r="A107" s="26" t="inlineStr">
        <is>
          <t>11.2</t>
        </is>
      </c>
      <c r="B107" s="27" t="n"/>
      <c r="C107" s="28">
        <f>IFERROR(INDEX(Unit_Aluminium_And_Steel_Works,MATCH($B107,Desc_Aluminium_And_Steel_Works,0)),"")</f>
        <v/>
      </c>
      <c r="D107" s="29" t="n"/>
      <c r="E107" s="30">
        <f>IFERROR(INDEX(Sell_Aluminium_And_Steel_Works,MATCH($B107,Desc_Aluminium_And_Steel_Works,0)),0)</f>
        <v/>
      </c>
      <c r="F107" s="30">
        <f>IF(D107="",0,D107*E107)</f>
        <v/>
      </c>
    </row>
    <row r="108">
      <c r="A108" s="26" t="inlineStr">
        <is>
          <t>11.3</t>
        </is>
      </c>
      <c r="B108" s="27" t="n"/>
      <c r="C108" s="28">
        <f>IFERROR(INDEX(Unit_Aluminium_And_Steel_Works,MATCH($B108,Desc_Aluminium_And_Steel_Works,0)),"")</f>
        <v/>
      </c>
      <c r="D108" s="29" t="n"/>
      <c r="E108" s="30">
        <f>IFERROR(INDEX(Sell_Aluminium_And_Steel_Works,MATCH($B108,Desc_Aluminium_And_Steel_Works,0)),0)</f>
        <v/>
      </c>
      <c r="F108" s="30">
        <f>IF(D108="",0,D108*E108)</f>
        <v/>
      </c>
    </row>
    <row r="109">
      <c r="A109" s="26" t="inlineStr">
        <is>
          <t>11.4</t>
        </is>
      </c>
      <c r="B109" s="27" t="n"/>
      <c r="C109" s="28">
        <f>IFERROR(INDEX(Unit_Aluminium_And_Steel_Works,MATCH($B109,Desc_Aluminium_And_Steel_Works,0)),"")</f>
        <v/>
      </c>
      <c r="D109" s="29" t="n"/>
      <c r="E109" s="30">
        <f>IFERROR(INDEX(Sell_Aluminium_And_Steel_Works,MATCH($B109,Desc_Aluminium_And_Steel_Works,0)),0)</f>
        <v/>
      </c>
      <c r="F109" s="30">
        <f>IF(D109="",0,D109*E109)</f>
        <v/>
      </c>
    </row>
    <row r="110">
      <c r="A110" s="26" t="inlineStr">
        <is>
          <t>11.5</t>
        </is>
      </c>
      <c r="B110" s="27" t="n"/>
      <c r="C110" s="28">
        <f>IFERROR(INDEX(Unit_Aluminium_And_Steel_Works,MATCH($B110,Desc_Aluminium_And_Steel_Works,0)),"")</f>
        <v/>
      </c>
      <c r="D110" s="29" t="n"/>
      <c r="E110" s="30">
        <f>IFERROR(INDEX(Sell_Aluminium_And_Steel_Works,MATCH($B110,Desc_Aluminium_And_Steel_Works,0)),0)</f>
        <v/>
      </c>
      <c r="F110" s="30">
        <f>IF(D110="",0,D110*E110)</f>
        <v/>
      </c>
    </row>
    <row r="111">
      <c r="A111" s="26" t="inlineStr">
        <is>
          <t>11.6</t>
        </is>
      </c>
      <c r="B111" s="27" t="n"/>
      <c r="C111" s="28">
        <f>IFERROR(INDEX(Unit_Aluminium_And_Steel_Works,MATCH($B111,Desc_Aluminium_And_Steel_Works,0)),"")</f>
        <v/>
      </c>
      <c r="D111" s="29" t="n"/>
      <c r="E111" s="30">
        <f>IFERROR(INDEX(Sell_Aluminium_And_Steel_Works,MATCH($B111,Desc_Aluminium_And_Steel_Works,0)),0)</f>
        <v/>
      </c>
      <c r="F111" s="30">
        <f>IF(D111="",0,D111*E111)</f>
        <v/>
      </c>
    </row>
    <row r="112">
      <c r="A112" s="31" t="inlineStr">
        <is>
          <t>SUBTOTAL</t>
        </is>
      </c>
      <c r="F112" s="32">
        <f>SUM(F106:F111)</f>
        <v/>
      </c>
    </row>
    <row r="114" ht="20" customHeight="1">
      <c r="A114" s="25" t="inlineStr">
        <is>
          <t>12.  Carpentry Works</t>
        </is>
      </c>
    </row>
    <row r="115">
      <c r="A115" s="26" t="inlineStr">
        <is>
          <t>12.1</t>
        </is>
      </c>
      <c r="B115" s="27" t="n"/>
      <c r="C115" s="28">
        <f>IFERROR(INDEX(Unit_Carpentry_Works,MATCH($B115,Desc_Carpentry_Works,0)),"")</f>
        <v/>
      </c>
      <c r="D115" s="29" t="n"/>
      <c r="E115" s="30">
        <f>IFERROR(INDEX(Sell_Carpentry_Works,MATCH($B115,Desc_Carpentry_Works,0)),0)</f>
        <v/>
      </c>
      <c r="F115" s="30">
        <f>IF(D115="",0,D115*E115)</f>
        <v/>
      </c>
    </row>
    <row r="116">
      <c r="A116" s="26" t="inlineStr">
        <is>
          <t>12.2</t>
        </is>
      </c>
      <c r="B116" s="27" t="n"/>
      <c r="C116" s="28">
        <f>IFERROR(INDEX(Unit_Carpentry_Works,MATCH($B116,Desc_Carpentry_Works,0)),"")</f>
        <v/>
      </c>
      <c r="D116" s="29" t="n"/>
      <c r="E116" s="30">
        <f>IFERROR(INDEX(Sell_Carpentry_Works,MATCH($B116,Desc_Carpentry_Works,0)),0)</f>
        <v/>
      </c>
      <c r="F116" s="30">
        <f>IF(D116="",0,D116*E116)</f>
        <v/>
      </c>
    </row>
    <row r="117">
      <c r="A117" s="26" t="inlineStr">
        <is>
          <t>12.3</t>
        </is>
      </c>
      <c r="B117" s="27" t="n"/>
      <c r="C117" s="28">
        <f>IFERROR(INDEX(Unit_Carpentry_Works,MATCH($B117,Desc_Carpentry_Works,0)),"")</f>
        <v/>
      </c>
      <c r="D117" s="29" t="n"/>
      <c r="E117" s="30">
        <f>IFERROR(INDEX(Sell_Carpentry_Works,MATCH($B117,Desc_Carpentry_Works,0)),0)</f>
        <v/>
      </c>
      <c r="F117" s="30">
        <f>IF(D117="",0,D117*E117)</f>
        <v/>
      </c>
    </row>
    <row r="118">
      <c r="A118" s="26" t="inlineStr">
        <is>
          <t>12.4</t>
        </is>
      </c>
      <c r="B118" s="27" t="n"/>
      <c r="C118" s="28">
        <f>IFERROR(INDEX(Unit_Carpentry_Works,MATCH($B118,Desc_Carpentry_Works,0)),"")</f>
        <v/>
      </c>
      <c r="D118" s="29" t="n"/>
      <c r="E118" s="30">
        <f>IFERROR(INDEX(Sell_Carpentry_Works,MATCH($B118,Desc_Carpentry_Works,0)),0)</f>
        <v/>
      </c>
      <c r="F118" s="30">
        <f>IF(D118="",0,D118*E118)</f>
        <v/>
      </c>
    </row>
    <row r="119">
      <c r="A119" s="26" t="inlineStr">
        <is>
          <t>12.5</t>
        </is>
      </c>
      <c r="B119" s="27" t="n"/>
      <c r="C119" s="28">
        <f>IFERROR(INDEX(Unit_Carpentry_Works,MATCH($B119,Desc_Carpentry_Works,0)),"")</f>
        <v/>
      </c>
      <c r="D119" s="29" t="n"/>
      <c r="E119" s="30">
        <f>IFERROR(INDEX(Sell_Carpentry_Works,MATCH($B119,Desc_Carpentry_Works,0)),0)</f>
        <v/>
      </c>
      <c r="F119" s="30">
        <f>IF(D119="",0,D119*E119)</f>
        <v/>
      </c>
    </row>
    <row r="120">
      <c r="A120" s="26" t="inlineStr">
        <is>
          <t>12.6</t>
        </is>
      </c>
      <c r="B120" s="27" t="n"/>
      <c r="C120" s="28">
        <f>IFERROR(INDEX(Unit_Carpentry_Works,MATCH($B120,Desc_Carpentry_Works,0)),"")</f>
        <v/>
      </c>
      <c r="D120" s="29" t="n"/>
      <c r="E120" s="30">
        <f>IFERROR(INDEX(Sell_Carpentry_Works,MATCH($B120,Desc_Carpentry_Works,0)),0)</f>
        <v/>
      </c>
      <c r="F120" s="30">
        <f>IF(D120="",0,D120*E120)</f>
        <v/>
      </c>
    </row>
    <row r="121">
      <c r="A121" s="31" t="inlineStr">
        <is>
          <t>SUBTOTAL</t>
        </is>
      </c>
      <c r="F121" s="32">
        <f>SUM(F115:F120)</f>
        <v/>
      </c>
    </row>
    <row r="123" ht="20" customHeight="1">
      <c r="A123" s="25" t="inlineStr">
        <is>
          <t>13.  Work And Service Top</t>
        </is>
      </c>
    </row>
    <row r="124">
      <c r="A124" s="26" t="inlineStr">
        <is>
          <t>13.1</t>
        </is>
      </c>
      <c r="B124" s="27" t="n"/>
      <c r="C124" s="28">
        <f>IFERROR(INDEX(Unit_Work_And_Service_Top,MATCH($B124,Desc_Work_And_Service_Top,0)),"")</f>
        <v/>
      </c>
      <c r="D124" s="29" t="n"/>
      <c r="E124" s="30">
        <f>IFERROR(INDEX(Sell_Work_And_Service_Top,MATCH($B124,Desc_Work_And_Service_Top,0)),0)</f>
        <v/>
      </c>
      <c r="F124" s="30">
        <f>IF(D124="",0,D124*E124)</f>
        <v/>
      </c>
    </row>
    <row r="125">
      <c r="A125" s="26" t="inlineStr">
        <is>
          <t>13.2</t>
        </is>
      </c>
      <c r="B125" s="27" t="n"/>
      <c r="C125" s="28">
        <f>IFERROR(INDEX(Unit_Work_And_Service_Top,MATCH($B125,Desc_Work_And_Service_Top,0)),"")</f>
        <v/>
      </c>
      <c r="D125" s="29" t="n"/>
      <c r="E125" s="30">
        <f>IFERROR(INDEX(Sell_Work_And_Service_Top,MATCH($B125,Desc_Work_And_Service_Top,0)),0)</f>
        <v/>
      </c>
      <c r="F125" s="30">
        <f>IF(D125="",0,D125*E125)</f>
        <v/>
      </c>
    </row>
    <row r="126">
      <c r="A126" s="26" t="inlineStr">
        <is>
          <t>13.3</t>
        </is>
      </c>
      <c r="B126" s="27" t="n"/>
      <c r="C126" s="28">
        <f>IFERROR(INDEX(Unit_Work_And_Service_Top,MATCH($B126,Desc_Work_And_Service_Top,0)),"")</f>
        <v/>
      </c>
      <c r="D126" s="29" t="n"/>
      <c r="E126" s="30">
        <f>IFERROR(INDEX(Sell_Work_And_Service_Top,MATCH($B126,Desc_Work_And_Service_Top,0)),0)</f>
        <v/>
      </c>
      <c r="F126" s="30">
        <f>IF(D126="",0,D126*E126)</f>
        <v/>
      </c>
    </row>
    <row r="127">
      <c r="A127" s="26" t="inlineStr">
        <is>
          <t>13.4</t>
        </is>
      </c>
      <c r="B127" s="27" t="n"/>
      <c r="C127" s="28">
        <f>IFERROR(INDEX(Unit_Work_And_Service_Top,MATCH($B127,Desc_Work_And_Service_Top,0)),"")</f>
        <v/>
      </c>
      <c r="D127" s="29" t="n"/>
      <c r="E127" s="30">
        <f>IFERROR(INDEX(Sell_Work_And_Service_Top,MATCH($B127,Desc_Work_And_Service_Top,0)),0)</f>
        <v/>
      </c>
      <c r="F127" s="30">
        <f>IF(D127="",0,D127*E127)</f>
        <v/>
      </c>
    </row>
    <row r="128">
      <c r="A128" s="26" t="inlineStr">
        <is>
          <t>13.5</t>
        </is>
      </c>
      <c r="B128" s="27" t="n"/>
      <c r="C128" s="28">
        <f>IFERROR(INDEX(Unit_Work_And_Service_Top,MATCH($B128,Desc_Work_And_Service_Top,0)),"")</f>
        <v/>
      </c>
      <c r="D128" s="29" t="n"/>
      <c r="E128" s="30">
        <f>IFERROR(INDEX(Sell_Work_And_Service_Top,MATCH($B128,Desc_Work_And_Service_Top,0)),0)</f>
        <v/>
      </c>
      <c r="F128" s="30">
        <f>IF(D128="",0,D128*E128)</f>
        <v/>
      </c>
    </row>
    <row r="129">
      <c r="A129" s="26" t="inlineStr">
        <is>
          <t>13.6</t>
        </is>
      </c>
      <c r="B129" s="27" t="n"/>
      <c r="C129" s="28">
        <f>IFERROR(INDEX(Unit_Work_And_Service_Top,MATCH($B129,Desc_Work_And_Service_Top,0)),"")</f>
        <v/>
      </c>
      <c r="D129" s="29" t="n"/>
      <c r="E129" s="30">
        <f>IFERROR(INDEX(Sell_Work_And_Service_Top,MATCH($B129,Desc_Work_And_Service_Top,0)),0)</f>
        <v/>
      </c>
      <c r="F129" s="30">
        <f>IF(D129="",0,D129*E129)</f>
        <v/>
      </c>
    </row>
    <row r="130">
      <c r="A130" s="31" t="inlineStr">
        <is>
          <t>SUBTOTAL</t>
        </is>
      </c>
      <c r="F130" s="32">
        <f>SUM(F124:F129)</f>
        <v/>
      </c>
    </row>
    <row r="132" ht="20" customHeight="1">
      <c r="A132" s="25" t="inlineStr">
        <is>
          <t>14.  Electrical Works</t>
        </is>
      </c>
    </row>
    <row r="133">
      <c r="A133" s="26" t="inlineStr">
        <is>
          <t>14.1</t>
        </is>
      </c>
      <c r="B133" s="27" t="n"/>
      <c r="C133" s="28">
        <f>IFERROR(INDEX(Unit_Electrical_Works,MATCH($B133,Desc_Electrical_Works,0)),"")</f>
        <v/>
      </c>
      <c r="D133" s="29" t="n"/>
      <c r="E133" s="30">
        <f>IFERROR(INDEX(Sell_Electrical_Works,MATCH($B133,Desc_Electrical_Works,0)),0)</f>
        <v/>
      </c>
      <c r="F133" s="30">
        <f>IF(D133="",0,D133*E133)</f>
        <v/>
      </c>
    </row>
    <row r="134">
      <c r="A134" s="26" t="inlineStr">
        <is>
          <t>14.2</t>
        </is>
      </c>
      <c r="B134" s="27" t="n"/>
      <c r="C134" s="28">
        <f>IFERROR(INDEX(Unit_Electrical_Works,MATCH($B134,Desc_Electrical_Works,0)),"")</f>
        <v/>
      </c>
      <c r="D134" s="29" t="n"/>
      <c r="E134" s="30">
        <f>IFERROR(INDEX(Sell_Electrical_Works,MATCH($B134,Desc_Electrical_Works,0)),0)</f>
        <v/>
      </c>
      <c r="F134" s="30">
        <f>IF(D134="",0,D134*E134)</f>
        <v/>
      </c>
    </row>
    <row r="135">
      <c r="A135" s="26" t="inlineStr">
        <is>
          <t>14.3</t>
        </is>
      </c>
      <c r="B135" s="27" t="n"/>
      <c r="C135" s="28">
        <f>IFERROR(INDEX(Unit_Electrical_Works,MATCH($B135,Desc_Electrical_Works,0)),"")</f>
        <v/>
      </c>
      <c r="D135" s="29" t="n"/>
      <c r="E135" s="30">
        <f>IFERROR(INDEX(Sell_Electrical_Works,MATCH($B135,Desc_Electrical_Works,0)),0)</f>
        <v/>
      </c>
      <c r="F135" s="30">
        <f>IF(D135="",0,D135*E135)</f>
        <v/>
      </c>
    </row>
    <row r="136">
      <c r="A136" s="26" t="inlineStr">
        <is>
          <t>14.4</t>
        </is>
      </c>
      <c r="B136" s="27" t="n"/>
      <c r="C136" s="28">
        <f>IFERROR(INDEX(Unit_Electrical_Works,MATCH($B136,Desc_Electrical_Works,0)),"")</f>
        <v/>
      </c>
      <c r="D136" s="29" t="n"/>
      <c r="E136" s="30">
        <f>IFERROR(INDEX(Sell_Electrical_Works,MATCH($B136,Desc_Electrical_Works,0)),0)</f>
        <v/>
      </c>
      <c r="F136" s="30">
        <f>IF(D136="",0,D136*E136)</f>
        <v/>
      </c>
    </row>
    <row r="137">
      <c r="A137" s="26" t="inlineStr">
        <is>
          <t>14.5</t>
        </is>
      </c>
      <c r="B137" s="27" t="n"/>
      <c r="C137" s="28">
        <f>IFERROR(INDEX(Unit_Electrical_Works,MATCH($B137,Desc_Electrical_Works,0)),"")</f>
        <v/>
      </c>
      <c r="D137" s="29" t="n"/>
      <c r="E137" s="30">
        <f>IFERROR(INDEX(Sell_Electrical_Works,MATCH($B137,Desc_Electrical_Works,0)),0)</f>
        <v/>
      </c>
      <c r="F137" s="30">
        <f>IF(D137="",0,D137*E137)</f>
        <v/>
      </c>
    </row>
    <row r="138">
      <c r="A138" s="26" t="inlineStr">
        <is>
          <t>14.6</t>
        </is>
      </c>
      <c r="B138" s="27" t="n"/>
      <c r="C138" s="28">
        <f>IFERROR(INDEX(Unit_Electrical_Works,MATCH($B138,Desc_Electrical_Works,0)),"")</f>
        <v/>
      </c>
      <c r="D138" s="29" t="n"/>
      <c r="E138" s="30">
        <f>IFERROR(INDEX(Sell_Electrical_Works,MATCH($B138,Desc_Electrical_Works,0)),0)</f>
        <v/>
      </c>
      <c r="F138" s="30">
        <f>IF(D138="",0,D138*E138)</f>
        <v/>
      </c>
    </row>
    <row r="139">
      <c r="A139" s="31" t="inlineStr">
        <is>
          <t>SUBTOTAL</t>
        </is>
      </c>
      <c r="F139" s="32">
        <f>SUM(F133:F138)</f>
        <v/>
      </c>
    </row>
    <row r="141" ht="20" customHeight="1">
      <c r="A141" s="25" t="inlineStr">
        <is>
          <t>15.  Flooring Works</t>
        </is>
      </c>
    </row>
    <row r="142">
      <c r="A142" s="26" t="inlineStr">
        <is>
          <t>15.1</t>
        </is>
      </c>
      <c r="B142" s="27" t="n"/>
      <c r="C142" s="28">
        <f>IFERROR(INDEX(Unit_Flooring_Works,MATCH($B142,Desc_Flooring_Works,0)),"")</f>
        <v/>
      </c>
      <c r="D142" s="29" t="n"/>
      <c r="E142" s="30">
        <f>IFERROR(INDEX(Sell_Flooring_Works,MATCH($B142,Desc_Flooring_Works,0)),0)</f>
        <v/>
      </c>
      <c r="F142" s="30">
        <f>IF(D142="",0,D142*E142)</f>
        <v/>
      </c>
    </row>
    <row r="143">
      <c r="A143" s="26" t="inlineStr">
        <is>
          <t>15.2</t>
        </is>
      </c>
      <c r="B143" s="27" t="n"/>
      <c r="C143" s="28">
        <f>IFERROR(INDEX(Unit_Flooring_Works,MATCH($B143,Desc_Flooring_Works,0)),"")</f>
        <v/>
      </c>
      <c r="D143" s="29" t="n"/>
      <c r="E143" s="30">
        <f>IFERROR(INDEX(Sell_Flooring_Works,MATCH($B143,Desc_Flooring_Works,0)),0)</f>
        <v/>
      </c>
      <c r="F143" s="30">
        <f>IF(D143="",0,D143*E143)</f>
        <v/>
      </c>
    </row>
    <row r="144">
      <c r="A144" s="26" t="inlineStr">
        <is>
          <t>15.3</t>
        </is>
      </c>
      <c r="B144" s="27" t="n"/>
      <c r="C144" s="28">
        <f>IFERROR(INDEX(Unit_Flooring_Works,MATCH($B144,Desc_Flooring_Works,0)),"")</f>
        <v/>
      </c>
      <c r="D144" s="29" t="n"/>
      <c r="E144" s="30">
        <f>IFERROR(INDEX(Sell_Flooring_Works,MATCH($B144,Desc_Flooring_Works,0)),0)</f>
        <v/>
      </c>
      <c r="F144" s="30">
        <f>IF(D144="",0,D144*E144)</f>
        <v/>
      </c>
    </row>
    <row r="145">
      <c r="A145" s="26" t="inlineStr">
        <is>
          <t>15.4</t>
        </is>
      </c>
      <c r="B145" s="27" t="n"/>
      <c r="C145" s="28">
        <f>IFERROR(INDEX(Unit_Flooring_Works,MATCH($B145,Desc_Flooring_Works,0)),"")</f>
        <v/>
      </c>
      <c r="D145" s="29" t="n"/>
      <c r="E145" s="30">
        <f>IFERROR(INDEX(Sell_Flooring_Works,MATCH($B145,Desc_Flooring_Works,0)),0)</f>
        <v/>
      </c>
      <c r="F145" s="30">
        <f>IF(D145="",0,D145*E145)</f>
        <v/>
      </c>
    </row>
    <row r="146">
      <c r="A146" s="26" t="inlineStr">
        <is>
          <t>15.5</t>
        </is>
      </c>
      <c r="B146" s="27" t="n"/>
      <c r="C146" s="28">
        <f>IFERROR(INDEX(Unit_Flooring_Works,MATCH($B146,Desc_Flooring_Works,0)),"")</f>
        <v/>
      </c>
      <c r="D146" s="29" t="n"/>
      <c r="E146" s="30">
        <f>IFERROR(INDEX(Sell_Flooring_Works,MATCH($B146,Desc_Flooring_Works,0)),0)</f>
        <v/>
      </c>
      <c r="F146" s="30">
        <f>IF(D146="",0,D146*E146)</f>
        <v/>
      </c>
    </row>
    <row r="147">
      <c r="A147" s="26" t="inlineStr">
        <is>
          <t>15.6</t>
        </is>
      </c>
      <c r="B147" s="27" t="n"/>
      <c r="C147" s="28">
        <f>IFERROR(INDEX(Unit_Flooring_Works,MATCH($B147,Desc_Flooring_Works,0)),"")</f>
        <v/>
      </c>
      <c r="D147" s="29" t="n"/>
      <c r="E147" s="30">
        <f>IFERROR(INDEX(Sell_Flooring_Works,MATCH($B147,Desc_Flooring_Works,0)),0)</f>
        <v/>
      </c>
      <c r="F147" s="30">
        <f>IF(D147="",0,D147*E147)</f>
        <v/>
      </c>
    </row>
    <row r="148">
      <c r="A148" s="31" t="inlineStr">
        <is>
          <t>SUBTOTAL</t>
        </is>
      </c>
      <c r="F148" s="32">
        <f>SUM(F142:F147)</f>
        <v/>
      </c>
    </row>
    <row r="150" ht="20" customHeight="1">
      <c r="A150" s="25" t="inlineStr">
        <is>
          <t>16.  Aircon Works</t>
        </is>
      </c>
    </row>
    <row r="151">
      <c r="A151" s="26" t="inlineStr">
        <is>
          <t>16.1</t>
        </is>
      </c>
      <c r="B151" s="27" t="n"/>
      <c r="C151" s="28">
        <f>IFERROR(INDEX(Unit_Aircon_Works,MATCH($B151,Desc_Aircon_Works,0)),"")</f>
        <v/>
      </c>
      <c r="D151" s="29" t="n"/>
      <c r="E151" s="30">
        <f>IFERROR(INDEX(Sell_Aircon_Works,MATCH($B151,Desc_Aircon_Works,0)),0)</f>
        <v/>
      </c>
      <c r="F151" s="30">
        <f>IF(D151="",0,D151*E151)</f>
        <v/>
      </c>
    </row>
    <row r="152">
      <c r="A152" s="26" t="inlineStr">
        <is>
          <t>16.2</t>
        </is>
      </c>
      <c r="B152" s="27" t="n"/>
      <c r="C152" s="28">
        <f>IFERROR(INDEX(Unit_Aircon_Works,MATCH($B152,Desc_Aircon_Works,0)),"")</f>
        <v/>
      </c>
      <c r="D152" s="29" t="n"/>
      <c r="E152" s="30">
        <f>IFERROR(INDEX(Sell_Aircon_Works,MATCH($B152,Desc_Aircon_Works,0)),0)</f>
        <v/>
      </c>
      <c r="F152" s="30">
        <f>IF(D152="",0,D152*E152)</f>
        <v/>
      </c>
    </row>
    <row r="153">
      <c r="A153" s="26" t="inlineStr">
        <is>
          <t>16.3</t>
        </is>
      </c>
      <c r="B153" s="27" t="n"/>
      <c r="C153" s="28">
        <f>IFERROR(INDEX(Unit_Aircon_Works,MATCH($B153,Desc_Aircon_Works,0)),"")</f>
        <v/>
      </c>
      <c r="D153" s="29" t="n"/>
      <c r="E153" s="30">
        <f>IFERROR(INDEX(Sell_Aircon_Works,MATCH($B153,Desc_Aircon_Works,0)),0)</f>
        <v/>
      </c>
      <c r="F153" s="30">
        <f>IF(D153="",0,D153*E153)</f>
        <v/>
      </c>
    </row>
    <row r="154">
      <c r="A154" s="26" t="inlineStr">
        <is>
          <t>16.4</t>
        </is>
      </c>
      <c r="B154" s="27" t="n"/>
      <c r="C154" s="28">
        <f>IFERROR(INDEX(Unit_Aircon_Works,MATCH($B154,Desc_Aircon_Works,0)),"")</f>
        <v/>
      </c>
      <c r="D154" s="29" t="n"/>
      <c r="E154" s="30">
        <f>IFERROR(INDEX(Sell_Aircon_Works,MATCH($B154,Desc_Aircon_Works,0)),0)</f>
        <v/>
      </c>
      <c r="F154" s="30">
        <f>IF(D154="",0,D154*E154)</f>
        <v/>
      </c>
    </row>
    <row r="155">
      <c r="A155" s="26" t="inlineStr">
        <is>
          <t>16.5</t>
        </is>
      </c>
      <c r="B155" s="27" t="n"/>
      <c r="C155" s="28">
        <f>IFERROR(INDEX(Unit_Aircon_Works,MATCH($B155,Desc_Aircon_Works,0)),"")</f>
        <v/>
      </c>
      <c r="D155" s="29" t="n"/>
      <c r="E155" s="30">
        <f>IFERROR(INDEX(Sell_Aircon_Works,MATCH($B155,Desc_Aircon_Works,0)),0)</f>
        <v/>
      </c>
      <c r="F155" s="30">
        <f>IF(D155="",0,D155*E155)</f>
        <v/>
      </c>
    </row>
    <row r="156">
      <c r="A156" s="26" t="inlineStr">
        <is>
          <t>16.6</t>
        </is>
      </c>
      <c r="B156" s="27" t="n"/>
      <c r="C156" s="28">
        <f>IFERROR(INDEX(Unit_Aircon_Works,MATCH($B156,Desc_Aircon_Works,0)),"")</f>
        <v/>
      </c>
      <c r="D156" s="29" t="n"/>
      <c r="E156" s="30">
        <f>IFERROR(INDEX(Sell_Aircon_Works,MATCH($B156,Desc_Aircon_Works,0)),0)</f>
        <v/>
      </c>
      <c r="F156" s="30">
        <f>IF(D156="",0,D156*E156)</f>
        <v/>
      </c>
    </row>
    <row r="157">
      <c r="A157" s="31" t="inlineStr">
        <is>
          <t>SUBTOTAL</t>
        </is>
      </c>
      <c r="F157" s="32">
        <f>SUM(F151:F156)</f>
        <v/>
      </c>
    </row>
    <row r="159" ht="20" customHeight="1">
      <c r="A159" s="25" t="inlineStr">
        <is>
          <t>17.  Miscellaneous Works</t>
        </is>
      </c>
    </row>
    <row r="160">
      <c r="A160" s="26" t="inlineStr">
        <is>
          <t>17.1</t>
        </is>
      </c>
      <c r="B160" s="27" t="n"/>
      <c r="C160" s="28">
        <f>IFERROR(INDEX(Unit_Miscellaneous_Works,MATCH($B160,Desc_Miscellaneous_Works,0)),"")</f>
        <v/>
      </c>
      <c r="D160" s="29" t="n"/>
      <c r="E160" s="30">
        <f>IFERROR(INDEX(Sell_Miscellaneous_Works,MATCH($B160,Desc_Miscellaneous_Works,0)),0)</f>
        <v/>
      </c>
      <c r="F160" s="30">
        <f>IF(D160="",0,D160*E160)</f>
        <v/>
      </c>
    </row>
    <row r="161">
      <c r="A161" s="26" t="inlineStr">
        <is>
          <t>17.2</t>
        </is>
      </c>
      <c r="B161" s="27" t="n"/>
      <c r="C161" s="28">
        <f>IFERROR(INDEX(Unit_Miscellaneous_Works,MATCH($B161,Desc_Miscellaneous_Works,0)),"")</f>
        <v/>
      </c>
      <c r="D161" s="29" t="n"/>
      <c r="E161" s="30">
        <f>IFERROR(INDEX(Sell_Miscellaneous_Works,MATCH($B161,Desc_Miscellaneous_Works,0)),0)</f>
        <v/>
      </c>
      <c r="F161" s="30">
        <f>IF(D161="",0,D161*E161)</f>
        <v/>
      </c>
    </row>
    <row r="162">
      <c r="A162" s="26" t="inlineStr">
        <is>
          <t>17.3</t>
        </is>
      </c>
      <c r="B162" s="27" t="n"/>
      <c r="C162" s="28">
        <f>IFERROR(INDEX(Unit_Miscellaneous_Works,MATCH($B162,Desc_Miscellaneous_Works,0)),"")</f>
        <v/>
      </c>
      <c r="D162" s="29" t="n"/>
      <c r="E162" s="30">
        <f>IFERROR(INDEX(Sell_Miscellaneous_Works,MATCH($B162,Desc_Miscellaneous_Works,0)),0)</f>
        <v/>
      </c>
      <c r="F162" s="30">
        <f>IF(D162="",0,D162*E162)</f>
        <v/>
      </c>
    </row>
    <row r="163">
      <c r="A163" s="26" t="inlineStr">
        <is>
          <t>17.4</t>
        </is>
      </c>
      <c r="B163" s="27" t="n"/>
      <c r="C163" s="28">
        <f>IFERROR(INDEX(Unit_Miscellaneous_Works,MATCH($B163,Desc_Miscellaneous_Works,0)),"")</f>
        <v/>
      </c>
      <c r="D163" s="29" t="n"/>
      <c r="E163" s="30">
        <f>IFERROR(INDEX(Sell_Miscellaneous_Works,MATCH($B163,Desc_Miscellaneous_Works,0)),0)</f>
        <v/>
      </c>
      <c r="F163" s="30">
        <f>IF(D163="",0,D163*E163)</f>
        <v/>
      </c>
    </row>
    <row r="164">
      <c r="A164" s="26" t="inlineStr">
        <is>
          <t>17.5</t>
        </is>
      </c>
      <c r="B164" s="27" t="n"/>
      <c r="C164" s="28">
        <f>IFERROR(INDEX(Unit_Miscellaneous_Works,MATCH($B164,Desc_Miscellaneous_Works,0)),"")</f>
        <v/>
      </c>
      <c r="D164" s="29" t="n"/>
      <c r="E164" s="30">
        <f>IFERROR(INDEX(Sell_Miscellaneous_Works,MATCH($B164,Desc_Miscellaneous_Works,0)),0)</f>
        <v/>
      </c>
      <c r="F164" s="30">
        <f>IF(D164="",0,D164*E164)</f>
        <v/>
      </c>
    </row>
    <row r="165">
      <c r="A165" s="26" t="inlineStr">
        <is>
          <t>17.6</t>
        </is>
      </c>
      <c r="B165" s="27" t="n"/>
      <c r="C165" s="28">
        <f>IFERROR(INDEX(Unit_Miscellaneous_Works,MATCH($B165,Desc_Miscellaneous_Works,0)),"")</f>
        <v/>
      </c>
      <c r="D165" s="29" t="n"/>
      <c r="E165" s="30">
        <f>IFERROR(INDEX(Sell_Miscellaneous_Works,MATCH($B165,Desc_Miscellaneous_Works,0)),0)</f>
        <v/>
      </c>
      <c r="F165" s="30">
        <f>IF(D165="",0,D165*E165)</f>
        <v/>
      </c>
    </row>
    <row r="166">
      <c r="A166" s="31" t="inlineStr">
        <is>
          <t>SUBTOTAL</t>
        </is>
      </c>
      <c r="F166" s="32">
        <f>SUM(F160:F165)</f>
        <v/>
      </c>
    </row>
    <row r="169">
      <c r="A169" s="31" t="inlineStr">
        <is>
          <t>TOTAL</t>
        </is>
      </c>
      <c r="F169" s="33">
        <f>F22+F31+F40+F49+F58+F67+F76+F85+F94+F103+F112+F121+F130+F139+F148+F157+F166</f>
        <v/>
      </c>
    </row>
    <row r="170">
      <c r="A170" s="34" t="inlineStr">
        <is>
          <t>Discount (%)</t>
        </is>
      </c>
      <c r="B170" s="35" t="n"/>
      <c r="C170" s="35" t="n"/>
      <c r="D170" s="35" t="n"/>
      <c r="E170" s="35" t="n"/>
      <c r="F170" s="36" t="n">
        <v>0</v>
      </c>
    </row>
    <row r="171">
      <c r="A171" s="37" t="inlineStr">
        <is>
          <t>Discount Amount (S$)</t>
        </is>
      </c>
      <c r="F171" s="38">
        <f>-F169*F170</f>
        <v/>
      </c>
    </row>
    <row r="172">
      <c r="A172" s="31" t="inlineStr">
        <is>
          <t>TOTAL AFTER DISCOUNT</t>
        </is>
      </c>
      <c r="F172" s="33">
        <f>F169+F171</f>
        <v/>
      </c>
    </row>
    <row r="173">
      <c r="A173" s="34" t="inlineStr">
        <is>
          <t>GST Rate (%)</t>
        </is>
      </c>
      <c r="B173" s="35" t="n"/>
      <c r="C173" s="35" t="n"/>
      <c r="D173" s="35" t="n"/>
      <c r="E173" s="35" t="n"/>
      <c r="F173" s="36" t="n">
        <v>0.09</v>
      </c>
    </row>
    <row r="174">
      <c r="A174" s="37" t="inlineStr">
        <is>
          <t>GST</t>
        </is>
      </c>
      <c r="F174" s="38">
        <f>F172*F173</f>
        <v/>
      </c>
    </row>
    <row r="175">
      <c r="A175" s="39" t="inlineStr">
        <is>
          <t>GRAND TOTAL (S$)</t>
        </is>
      </c>
      <c r="B175" s="40" t="n"/>
      <c r="C175" s="40" t="n"/>
      <c r="D175" s="40" t="n"/>
      <c r="E175" s="40" t="n"/>
      <c r="F175" s="41">
        <f>F172+F174</f>
        <v/>
      </c>
    </row>
    <row r="178">
      <c r="A178" s="42" t="inlineStr">
        <is>
          <t>PAYMENT TERMS</t>
        </is>
      </c>
    </row>
    <row r="179" ht="15" customHeight="1">
      <c r="A179" s="43" t="inlineStr">
        <is>
          <t>•  10% of total contract amount upon confirmation of awarded contract / commencement of design works.</t>
        </is>
      </c>
    </row>
    <row r="180" ht="15" customHeight="1">
      <c r="A180" s="43" t="inlineStr">
        <is>
          <t>•  40% of total contract amount upon commencement of any renovation works (80% for single-item renovation works).</t>
        </is>
      </c>
    </row>
    <row r="181" ht="15" customHeight="1">
      <c r="A181" s="43" t="inlineStr">
        <is>
          <t>•  45% of total contract amount upon measurement and confirmation of carpentry / completion of masonry works.</t>
        </is>
      </c>
    </row>
    <row r="182" ht="15" customHeight="1">
      <c r="A182" s="43" t="inlineStr">
        <is>
          <t>•  5% of total contract amount upon completion of renovation works.</t>
        </is>
      </c>
    </row>
    <row r="184">
      <c r="A184" s="42" t="inlineStr">
        <is>
          <t>TERMS AND CONDITIONS</t>
        </is>
      </c>
    </row>
    <row r="185" ht="15" customHeight="1">
      <c r="A185" s="43" t="inlineStr">
        <is>
          <t>1.  This quotation is valid for 30 days from the date above; the resulting contract, once signed, is valid for 180 days.</t>
        </is>
      </c>
    </row>
    <row r="186" ht="15" customHeight="1">
      <c r="A186" s="43" t="inlineStr">
        <is>
          <t>2.  Deposit is non-refundable. Cancellation by the customer incurs a compensation of 20% of the contract sum.</t>
        </is>
      </c>
    </row>
    <row r="187" ht="15" customHeight="1">
      <c r="A187" s="43" t="inlineStr">
        <is>
          <t>3.  A lump-sum discount, if offered, is void if the customer cancels or varies any item from the package deal.</t>
        </is>
      </c>
    </row>
    <row r="188" ht="15" customHeight="1">
      <c r="A188" s="43" t="inlineStr">
        <is>
          <t>4.  Any additional work or variation not stated here will be treated as a Variation Order and billed separately.</t>
        </is>
      </c>
    </row>
    <row r="189" ht="15" customHeight="1">
      <c r="A189" s="43" t="inlineStr">
        <is>
          <t>5.  Marble, granite and other natural materials are not guaranteed for uniformity in vein, colour or tone.</t>
        </is>
      </c>
    </row>
    <row r="190" ht="15" customHeight="1">
      <c r="A190" s="43" t="inlineStr">
        <is>
          <t>6.  Damage to concealed elements (pipes, wiring, etc.) uncovered during renovation is repaired at the owner's cost.</t>
        </is>
      </c>
    </row>
    <row r="191" ht="15" customHeight="1">
      <c r="A191" s="43" t="inlineStr">
        <is>
          <t>7.  Waterproofing works carried out by the company are warranted for 15 months from the commencement date.</t>
        </is>
      </c>
    </row>
    <row r="192" ht="15" customHeight="1">
      <c r="A192" s="43" t="inlineStr">
        <is>
          <t>8.  The company warrants supplied products against material defects for 12 months from the delivery date.</t>
        </is>
      </c>
    </row>
    <row r="193" ht="15" customHeight="1">
      <c r="A193" s="43" t="inlineStr">
        <is>
          <t>9.  All cheques should be crossed and made payable to the company; bank transfers only to the company's stated account.</t>
        </is>
      </c>
    </row>
    <row r="194" ht="15" customHeight="1">
      <c r="A194" s="43" t="inlineStr">
        <is>
          <t>10.  Retention sums are not applicable to works carried out by the company.</t>
        </is>
      </c>
    </row>
    <row r="197">
      <c r="A197" s="20" t="inlineStr">
        <is>
          <t>Attended and Managed By:</t>
        </is>
      </c>
      <c r="C197" s="21" t="n"/>
      <c r="D197" s="22" t="n"/>
      <c r="E197" s="44" t="inlineStr">
        <is>
          <t>Acknowledged &amp; Confirmed by Owner / Date:</t>
        </is>
      </c>
    </row>
  </sheetData>
  <mergeCells count="69">
    <mergeCell ref="A148:E148"/>
    <mergeCell ref="A166:E166"/>
    <mergeCell ref="A157:E157"/>
    <mergeCell ref="A193:F193"/>
    <mergeCell ref="B8:D8"/>
    <mergeCell ref="A189:F189"/>
    <mergeCell ref="A169:E169"/>
    <mergeCell ref="B6"/>
    <mergeCell ref="A49:E49"/>
    <mergeCell ref="A94:E94"/>
    <mergeCell ref="A103:E103"/>
    <mergeCell ref="A12:F12"/>
    <mergeCell ref="A105:F105"/>
    <mergeCell ref="B5"/>
    <mergeCell ref="A192:F192"/>
    <mergeCell ref="A173:E173"/>
    <mergeCell ref="A179:F179"/>
    <mergeCell ref="C197:D197"/>
    <mergeCell ref="A33:F33"/>
    <mergeCell ref="A42:F42"/>
    <mergeCell ref="A69:F69"/>
    <mergeCell ref="A172:E172"/>
    <mergeCell ref="A185:F185"/>
    <mergeCell ref="E1:F1"/>
    <mergeCell ref="A150:F150"/>
    <mergeCell ref="A174:E174"/>
    <mergeCell ref="A181:F181"/>
    <mergeCell ref="A141:F141"/>
    <mergeCell ref="A159:F159"/>
    <mergeCell ref="A188:F188"/>
    <mergeCell ref="A194:F194"/>
    <mergeCell ref="A96:F96"/>
    <mergeCell ref="A184:F184"/>
    <mergeCell ref="A180:F180"/>
    <mergeCell ref="A1:D1"/>
    <mergeCell ref="A190:F190"/>
    <mergeCell ref="A139:E139"/>
    <mergeCell ref="A13:F13"/>
    <mergeCell ref="E2:F2"/>
    <mergeCell ref="B10:F10"/>
    <mergeCell ref="A175:E175"/>
    <mergeCell ref="A76:E76"/>
    <mergeCell ref="A85:E85"/>
    <mergeCell ref="A22:E22"/>
    <mergeCell ref="A114:F114"/>
    <mergeCell ref="A15:F15"/>
    <mergeCell ref="A186:F186"/>
    <mergeCell ref="A24:F24"/>
    <mergeCell ref="A51:F51"/>
    <mergeCell ref="A182:F182"/>
    <mergeCell ref="A60:F60"/>
    <mergeCell ref="A171:E171"/>
    <mergeCell ref="A123:F123"/>
    <mergeCell ref="A191:F191"/>
    <mergeCell ref="A132:F132"/>
    <mergeCell ref="A3:D3"/>
    <mergeCell ref="A112:E112"/>
    <mergeCell ref="A178:F178"/>
    <mergeCell ref="A170:E170"/>
    <mergeCell ref="A121:E121"/>
    <mergeCell ref="A2:D2"/>
    <mergeCell ref="A31:E31"/>
    <mergeCell ref="A78:F78"/>
    <mergeCell ref="A58:E58"/>
    <mergeCell ref="A187:F187"/>
    <mergeCell ref="A40:E40"/>
    <mergeCell ref="A87:F87"/>
    <mergeCell ref="A67:E67"/>
    <mergeCell ref="A130:E130"/>
  </mergeCells>
  <dataValidations count="102">
    <dataValidation sqref="B16" showDropDown="0" showInputMessage="0" showErrorMessage="1" allowBlank="1" errorTitle="Custom item" error="Not in the Price Catalog for this section - you can still type a custom item." type="list" errorStyle="warning">
      <formula1>=Desc_Professional_Services</formula1>
    </dataValidation>
    <dataValidation sqref="B17" showDropDown="0" showInputMessage="0" showErrorMessage="1" allowBlank="1" errorTitle="Custom item" error="Not in the Price Catalog for this section - you can still type a custom item." type="list" errorStyle="warning">
      <formula1>=Desc_Professional_Services</formula1>
    </dataValidation>
    <dataValidation sqref="B18" showDropDown="0" showInputMessage="0" showErrorMessage="1" allowBlank="1" errorTitle="Custom item" error="Not in the Price Catalog for this section - you can still type a custom item." type="list" errorStyle="warning">
      <formula1>=Desc_Professional_Services</formula1>
    </dataValidation>
    <dataValidation sqref="B19" showDropDown="0" showInputMessage="0" showErrorMessage="1" allowBlank="1" errorTitle="Custom item" error="Not in the Price Catalog for this section - you can still type a custom item." type="list" errorStyle="warning">
      <formula1>=Desc_Professional_Services</formula1>
    </dataValidation>
    <dataValidation sqref="B20" showDropDown="0" showInputMessage="0" showErrorMessage="1" allowBlank="1" errorTitle="Custom item" error="Not in the Price Catalog for this section - you can still type a custom item." type="list" errorStyle="warning">
      <formula1>=Desc_Professional_Services</formula1>
    </dataValidation>
    <dataValidation sqref="B21" showDropDown="0" showInputMessage="0" showErrorMessage="1" allowBlank="1" errorTitle="Custom item" error="Not in the Price Catalog for this section - you can still type a custom item." type="list" errorStyle="warning">
      <formula1>=Desc_Professional_Services</formula1>
    </dataValidation>
    <dataValidation sqref="B25" showDropDown="0" showInputMessage="0" showErrorMessage="1" allowBlank="1" errorTitle="Custom item" error="Not in the Price Catalog for this section - you can still type a custom item." type="list" errorStyle="warning">
      <formula1>=Desc_Preliminaries_Works</formula1>
    </dataValidation>
    <dataValidation sqref="B26" showDropDown="0" showInputMessage="0" showErrorMessage="1" allowBlank="1" errorTitle="Custom item" error="Not in the Price Catalog for this section - you can still type a custom item." type="list" errorStyle="warning">
      <formula1>=Desc_Preliminaries_Works</formula1>
    </dataValidation>
    <dataValidation sqref="B27" showDropDown="0" showInputMessage="0" showErrorMessage="1" allowBlank="1" errorTitle="Custom item" error="Not in the Price Catalog for this section - you can still type a custom item." type="list" errorStyle="warning">
      <formula1>=Desc_Preliminaries_Works</formula1>
    </dataValidation>
    <dataValidation sqref="B28" showDropDown="0" showInputMessage="0" showErrorMessage="1" allowBlank="1" errorTitle="Custom item" error="Not in the Price Catalog for this section - you can still type a custom item." type="list" errorStyle="warning">
      <formula1>=Desc_Preliminaries_Works</formula1>
    </dataValidation>
    <dataValidation sqref="B29" showDropDown="0" showInputMessage="0" showErrorMessage="1" allowBlank="1" errorTitle="Custom item" error="Not in the Price Catalog for this section - you can still type a custom item." type="list" errorStyle="warning">
      <formula1>=Desc_Preliminaries_Works</formula1>
    </dataValidation>
    <dataValidation sqref="B30" showDropDown="0" showInputMessage="0" showErrorMessage="1" allowBlank="1" errorTitle="Custom item" error="Not in the Price Catalog for this section - you can still type a custom item." type="list" errorStyle="warning">
      <formula1>=Desc_Preliminaries_Works</formula1>
    </dataValidation>
    <dataValidation sqref="B34" showDropDown="0" showInputMessage="0" showErrorMessage="1" allowBlank="1" errorTitle="Custom item" error="Not in the Price Catalog for this section - you can still type a custom item." type="list" errorStyle="warning">
      <formula1>=Desc_Remodeling_Works_Hacking_Works</formula1>
    </dataValidation>
    <dataValidation sqref="B35" showDropDown="0" showInputMessage="0" showErrorMessage="1" allowBlank="1" errorTitle="Custom item" error="Not in the Price Catalog for this section - you can still type a custom item." type="list" errorStyle="warning">
      <formula1>=Desc_Remodeling_Works_Hacking_Works</formula1>
    </dataValidation>
    <dataValidation sqref="B36" showDropDown="0" showInputMessage="0" showErrorMessage="1" allowBlank="1" errorTitle="Custom item" error="Not in the Price Catalog for this section - you can still type a custom item." type="list" errorStyle="warning">
      <formula1>=Desc_Remodeling_Works_Hacking_Works</formula1>
    </dataValidation>
    <dataValidation sqref="B37" showDropDown="0" showInputMessage="0" showErrorMessage="1" allowBlank="1" errorTitle="Custom item" error="Not in the Price Catalog for this section - you can still type a custom item." type="list" errorStyle="warning">
      <formula1>=Desc_Remodeling_Works_Hacking_Works</formula1>
    </dataValidation>
    <dataValidation sqref="B38" showDropDown="0" showInputMessage="0" showErrorMessage="1" allowBlank="1" errorTitle="Custom item" error="Not in the Price Catalog for this section - you can still type a custom item." type="list" errorStyle="warning">
      <formula1>=Desc_Remodeling_Works_Hacking_Works</formula1>
    </dataValidation>
    <dataValidation sqref="B39" showDropDown="0" showInputMessage="0" showErrorMessage="1" allowBlank="1" errorTitle="Custom item" error="Not in the Price Catalog for this section - you can still type a custom item." type="list" errorStyle="warning">
      <formula1>=Desc_Remodeling_Works_Hacking_Works</formula1>
    </dataValidation>
    <dataValidation sqref="B43" showDropDown="0" showInputMessage="0" showErrorMessage="1" allowBlank="1" errorTitle="Custom item" error="Not in the Price Catalog for this section - you can still type a custom item." type="list" errorStyle="warning">
      <formula1>=Desc_Plumbing_Works</formula1>
    </dataValidation>
    <dataValidation sqref="B44" showDropDown="0" showInputMessage="0" showErrorMessage="1" allowBlank="1" errorTitle="Custom item" error="Not in the Price Catalog for this section - you can still type a custom item." type="list" errorStyle="warning">
      <formula1>=Desc_Plumbing_Works</formula1>
    </dataValidation>
    <dataValidation sqref="B45" showDropDown="0" showInputMessage="0" showErrorMessage="1" allowBlank="1" errorTitle="Custom item" error="Not in the Price Catalog for this section - you can still type a custom item." type="list" errorStyle="warning">
      <formula1>=Desc_Plumbing_Works</formula1>
    </dataValidation>
    <dataValidation sqref="B46" showDropDown="0" showInputMessage="0" showErrorMessage="1" allowBlank="1" errorTitle="Custom item" error="Not in the Price Catalog for this section - you can still type a custom item." type="list" errorStyle="warning">
      <formula1>=Desc_Plumbing_Works</formula1>
    </dataValidation>
    <dataValidation sqref="B47" showDropDown="0" showInputMessage="0" showErrorMessage="1" allowBlank="1" errorTitle="Custom item" error="Not in the Price Catalog for this section - you can still type a custom item." type="list" errorStyle="warning">
      <formula1>=Desc_Plumbing_Works</formula1>
    </dataValidation>
    <dataValidation sqref="B48" showDropDown="0" showInputMessage="0" showErrorMessage="1" allowBlank="1" errorTitle="Custom item" error="Not in the Price Catalog for this section - you can still type a custom item." type="list" errorStyle="warning">
      <formula1>=Desc_Plumbing_Works</formula1>
    </dataValidation>
    <dataValidation sqref="B52" showDropDown="0" showInputMessage="0" showErrorMessage="1" allowBlank="1" errorTitle="Custom item" error="Not in the Price Catalog for this section - you can still type a custom item." type="list" errorStyle="warning">
      <formula1>=Desc_Masonry_Works</formula1>
    </dataValidation>
    <dataValidation sqref="B53" showDropDown="0" showInputMessage="0" showErrorMessage="1" allowBlank="1" errorTitle="Custom item" error="Not in the Price Catalog for this section - you can still type a custom item." type="list" errorStyle="warning">
      <formula1>=Desc_Masonry_Works</formula1>
    </dataValidation>
    <dataValidation sqref="B54" showDropDown="0" showInputMessage="0" showErrorMessage="1" allowBlank="1" errorTitle="Custom item" error="Not in the Price Catalog for this section - you can still type a custom item." type="list" errorStyle="warning">
      <formula1>=Desc_Masonry_Works</formula1>
    </dataValidation>
    <dataValidation sqref="B55" showDropDown="0" showInputMessage="0" showErrorMessage="1" allowBlank="1" errorTitle="Custom item" error="Not in the Price Catalog for this section - you can still type a custom item." type="list" errorStyle="warning">
      <formula1>=Desc_Masonry_Works</formula1>
    </dataValidation>
    <dataValidation sqref="B56" showDropDown="0" showInputMessage="0" showErrorMessage="1" allowBlank="1" errorTitle="Custom item" error="Not in the Price Catalog for this section - you can still type a custom item." type="list" errorStyle="warning">
      <formula1>=Desc_Masonry_Works</formula1>
    </dataValidation>
    <dataValidation sqref="B57" showDropDown="0" showInputMessage="0" showErrorMessage="1" allowBlank="1" errorTitle="Custom item" error="Not in the Price Catalog for this section - you can still type a custom item." type="list" errorStyle="warning">
      <formula1>=Desc_Masonry_Works</formula1>
    </dataValidation>
    <dataValidation sqref="B61" showDropDown="0" showInputMessage="0" showErrorMessage="1" allowBlank="1" errorTitle="Custom item" error="Not in the Price Catalog for this section - you can still type a custom item." type="list" errorStyle="warning">
      <formula1>=Desc_Waterproofing_Works</formula1>
    </dataValidation>
    <dataValidation sqref="B62" showDropDown="0" showInputMessage="0" showErrorMessage="1" allowBlank="1" errorTitle="Custom item" error="Not in the Price Catalog for this section - you can still type a custom item." type="list" errorStyle="warning">
      <formula1>=Desc_Waterproofing_Works</formula1>
    </dataValidation>
    <dataValidation sqref="B63" showDropDown="0" showInputMessage="0" showErrorMessage="1" allowBlank="1" errorTitle="Custom item" error="Not in the Price Catalog for this section - you can still type a custom item." type="list" errorStyle="warning">
      <formula1>=Desc_Waterproofing_Works</formula1>
    </dataValidation>
    <dataValidation sqref="B64" showDropDown="0" showInputMessage="0" showErrorMessage="1" allowBlank="1" errorTitle="Custom item" error="Not in the Price Catalog for this section - you can still type a custom item." type="list" errorStyle="warning">
      <formula1>=Desc_Waterproofing_Works</formula1>
    </dataValidation>
    <dataValidation sqref="B65" showDropDown="0" showInputMessage="0" showErrorMessage="1" allowBlank="1" errorTitle="Custom item" error="Not in the Price Catalog for this section - you can still type a custom item." type="list" errorStyle="warning">
      <formula1>=Desc_Waterproofing_Works</formula1>
    </dataValidation>
    <dataValidation sqref="B66" showDropDown="0" showInputMessage="0" showErrorMessage="1" allowBlank="1" errorTitle="Custom item" error="Not in the Price Catalog for this section - you can still type a custom item." type="list" errorStyle="warning">
      <formula1>=Desc_Waterproofing_Works</formula1>
    </dataValidation>
    <dataValidation sqref="B70" showDropDown="0" showInputMessage="0" showErrorMessage="1" allowBlank="1" errorTitle="Custom item" error="Not in the Price Catalog for this section - you can still type a custom item." type="list" errorStyle="warning">
      <formula1>=Desc_Plasterceil_Works</formula1>
    </dataValidation>
    <dataValidation sqref="B71" showDropDown="0" showInputMessage="0" showErrorMessage="1" allowBlank="1" errorTitle="Custom item" error="Not in the Price Catalog for this section - you can still type a custom item." type="list" errorStyle="warning">
      <formula1>=Desc_Plasterceil_Works</formula1>
    </dataValidation>
    <dataValidation sqref="B72" showDropDown="0" showInputMessage="0" showErrorMessage="1" allowBlank="1" errorTitle="Custom item" error="Not in the Price Catalog for this section - you can still type a custom item." type="list" errorStyle="warning">
      <formula1>=Desc_Plasterceil_Works</formula1>
    </dataValidation>
    <dataValidation sqref="B73" showDropDown="0" showInputMessage="0" showErrorMessage="1" allowBlank="1" errorTitle="Custom item" error="Not in the Price Catalog for this section - you can still type a custom item." type="list" errorStyle="warning">
      <formula1>=Desc_Plasterceil_Works</formula1>
    </dataValidation>
    <dataValidation sqref="B74" showDropDown="0" showInputMessage="0" showErrorMessage="1" allowBlank="1" errorTitle="Custom item" error="Not in the Price Catalog for this section - you can still type a custom item." type="list" errorStyle="warning">
      <formula1>=Desc_Plasterceil_Works</formula1>
    </dataValidation>
    <dataValidation sqref="B75" showDropDown="0" showInputMessage="0" showErrorMessage="1" allowBlank="1" errorTitle="Custom item" error="Not in the Price Catalog for this section - you can still type a custom item." type="list" errorStyle="warning">
      <formula1>=Desc_Plasterceil_Works</formula1>
    </dataValidation>
    <dataValidation sqref="B79" showDropDown="0" showInputMessage="0" showErrorMessage="1" allowBlank="1" errorTitle="Custom item" error="Not in the Price Catalog for this section - you can still type a custom item." type="list" errorStyle="warning">
      <formula1>=Desc_Plastering_Works</formula1>
    </dataValidation>
    <dataValidation sqref="B80" showDropDown="0" showInputMessage="0" showErrorMessage="1" allowBlank="1" errorTitle="Custom item" error="Not in the Price Catalog for this section - you can still type a custom item." type="list" errorStyle="warning">
      <formula1>=Desc_Plastering_Works</formula1>
    </dataValidation>
    <dataValidation sqref="B81" showDropDown="0" showInputMessage="0" showErrorMessage="1" allowBlank="1" errorTitle="Custom item" error="Not in the Price Catalog for this section - you can still type a custom item." type="list" errorStyle="warning">
      <formula1>=Desc_Plastering_Works</formula1>
    </dataValidation>
    <dataValidation sqref="B82" showDropDown="0" showInputMessage="0" showErrorMessage="1" allowBlank="1" errorTitle="Custom item" error="Not in the Price Catalog for this section - you can still type a custom item." type="list" errorStyle="warning">
      <formula1>=Desc_Plastering_Works</formula1>
    </dataValidation>
    <dataValidation sqref="B83" showDropDown="0" showInputMessage="0" showErrorMessage="1" allowBlank="1" errorTitle="Custom item" error="Not in the Price Catalog for this section - you can still type a custom item." type="list" errorStyle="warning">
      <formula1>=Desc_Plastering_Works</formula1>
    </dataValidation>
    <dataValidation sqref="B84" showDropDown="0" showInputMessage="0" showErrorMessage="1" allowBlank="1" errorTitle="Custom item" error="Not in the Price Catalog for this section - you can still type a custom item." type="list" errorStyle="warning">
      <formula1>=Desc_Plastering_Works</formula1>
    </dataValidation>
    <dataValidation sqref="B88" showDropDown="0" showInputMessage="0" showErrorMessage="1" allowBlank="1" errorTitle="Custom item" error="Not in the Price Catalog for this section - you can still type a custom item." type="list" errorStyle="warning">
      <formula1>=Desc_Painting_Works</formula1>
    </dataValidation>
    <dataValidation sqref="B89" showDropDown="0" showInputMessage="0" showErrorMessage="1" allowBlank="1" errorTitle="Custom item" error="Not in the Price Catalog for this section - you can still type a custom item." type="list" errorStyle="warning">
      <formula1>=Desc_Painting_Works</formula1>
    </dataValidation>
    <dataValidation sqref="B90" showDropDown="0" showInputMessage="0" showErrorMessage="1" allowBlank="1" errorTitle="Custom item" error="Not in the Price Catalog for this section - you can still type a custom item." type="list" errorStyle="warning">
      <formula1>=Desc_Painting_Works</formula1>
    </dataValidation>
    <dataValidation sqref="B91" showDropDown="0" showInputMessage="0" showErrorMessage="1" allowBlank="1" errorTitle="Custom item" error="Not in the Price Catalog for this section - you can still type a custom item." type="list" errorStyle="warning">
      <formula1>=Desc_Painting_Works</formula1>
    </dataValidation>
    <dataValidation sqref="B92" showDropDown="0" showInputMessage="0" showErrorMessage="1" allowBlank="1" errorTitle="Custom item" error="Not in the Price Catalog for this section - you can still type a custom item." type="list" errorStyle="warning">
      <formula1>=Desc_Painting_Works</formula1>
    </dataValidation>
    <dataValidation sqref="B93" showDropDown="0" showInputMessage="0" showErrorMessage="1" allowBlank="1" errorTitle="Custom item" error="Not in the Price Catalog for this section - you can still type a custom item." type="list" errorStyle="warning">
      <formula1>=Desc_Painting_Works</formula1>
    </dataValidation>
    <dataValidation sqref="B97" showDropDown="0" showInputMessage="0" showErrorMessage="1" allowBlank="1" errorTitle="Custom item" error="Not in the Price Catalog for this section - you can still type a custom item." type="list" errorStyle="warning">
      <formula1>=Desc_Glass_Works</formula1>
    </dataValidation>
    <dataValidation sqref="B98" showDropDown="0" showInputMessage="0" showErrorMessage="1" allowBlank="1" errorTitle="Custom item" error="Not in the Price Catalog for this section - you can still type a custom item." type="list" errorStyle="warning">
      <formula1>=Desc_Glass_Works</formula1>
    </dataValidation>
    <dataValidation sqref="B99" showDropDown="0" showInputMessage="0" showErrorMessage="1" allowBlank="1" errorTitle="Custom item" error="Not in the Price Catalog for this section - you can still type a custom item." type="list" errorStyle="warning">
      <formula1>=Desc_Glass_Works</formula1>
    </dataValidation>
    <dataValidation sqref="B100" showDropDown="0" showInputMessage="0" showErrorMessage="1" allowBlank="1" errorTitle="Custom item" error="Not in the Price Catalog for this section - you can still type a custom item." type="list" errorStyle="warning">
      <formula1>=Desc_Glass_Works</formula1>
    </dataValidation>
    <dataValidation sqref="B101" showDropDown="0" showInputMessage="0" showErrorMessage="1" allowBlank="1" errorTitle="Custom item" error="Not in the Price Catalog for this section - you can still type a custom item." type="list" errorStyle="warning">
      <formula1>=Desc_Glass_Works</formula1>
    </dataValidation>
    <dataValidation sqref="B102" showDropDown="0" showInputMessage="0" showErrorMessage="1" allowBlank="1" errorTitle="Custom item" error="Not in the Price Catalog for this section - you can still type a custom item." type="list" errorStyle="warning">
      <formula1>=Desc_Glass_Works</formula1>
    </dataValidation>
    <dataValidation sqref="B106" showDropDown="0" showInputMessage="0" showErrorMessage="1" allowBlank="1" errorTitle="Custom item" error="Not in the Price Catalog for this section - you can still type a custom item." type="list" errorStyle="warning">
      <formula1>=Desc_Aluminium_And_Steel_Works</formula1>
    </dataValidation>
    <dataValidation sqref="B107" showDropDown="0" showInputMessage="0" showErrorMessage="1" allowBlank="1" errorTitle="Custom item" error="Not in the Price Catalog for this section - you can still type a custom item." type="list" errorStyle="warning">
      <formula1>=Desc_Aluminium_And_Steel_Works</formula1>
    </dataValidation>
    <dataValidation sqref="B108" showDropDown="0" showInputMessage="0" showErrorMessage="1" allowBlank="1" errorTitle="Custom item" error="Not in the Price Catalog for this section - you can still type a custom item." type="list" errorStyle="warning">
      <formula1>=Desc_Aluminium_And_Steel_Works</formula1>
    </dataValidation>
    <dataValidation sqref="B109" showDropDown="0" showInputMessage="0" showErrorMessage="1" allowBlank="1" errorTitle="Custom item" error="Not in the Price Catalog for this section - you can still type a custom item." type="list" errorStyle="warning">
      <formula1>=Desc_Aluminium_And_Steel_Works</formula1>
    </dataValidation>
    <dataValidation sqref="B110" showDropDown="0" showInputMessage="0" showErrorMessage="1" allowBlank="1" errorTitle="Custom item" error="Not in the Price Catalog for this section - you can still type a custom item." type="list" errorStyle="warning">
      <formula1>=Desc_Aluminium_And_Steel_Works</formula1>
    </dataValidation>
    <dataValidation sqref="B111" showDropDown="0" showInputMessage="0" showErrorMessage="1" allowBlank="1" errorTitle="Custom item" error="Not in the Price Catalog for this section - you can still type a custom item." type="list" errorStyle="warning">
      <formula1>=Desc_Aluminium_And_Steel_Works</formula1>
    </dataValidation>
    <dataValidation sqref="B115" showDropDown="0" showInputMessage="0" showErrorMessage="1" allowBlank="1" errorTitle="Custom item" error="Not in the Price Catalog for this section - you can still type a custom item." type="list" errorStyle="warning">
      <formula1>=Desc_Carpentry_Works</formula1>
    </dataValidation>
    <dataValidation sqref="B116" showDropDown="0" showInputMessage="0" showErrorMessage="1" allowBlank="1" errorTitle="Custom item" error="Not in the Price Catalog for this section - you can still type a custom item." type="list" errorStyle="warning">
      <formula1>=Desc_Carpentry_Works</formula1>
    </dataValidation>
    <dataValidation sqref="B117" showDropDown="0" showInputMessage="0" showErrorMessage="1" allowBlank="1" errorTitle="Custom item" error="Not in the Price Catalog for this section - you can still type a custom item." type="list" errorStyle="warning">
      <formula1>=Desc_Carpentry_Works</formula1>
    </dataValidation>
    <dataValidation sqref="B118" showDropDown="0" showInputMessage="0" showErrorMessage="1" allowBlank="1" errorTitle="Custom item" error="Not in the Price Catalog for this section - you can still type a custom item." type="list" errorStyle="warning">
      <formula1>=Desc_Carpentry_Works</formula1>
    </dataValidation>
    <dataValidation sqref="B119" showDropDown="0" showInputMessage="0" showErrorMessage="1" allowBlank="1" errorTitle="Custom item" error="Not in the Price Catalog for this section - you can still type a custom item." type="list" errorStyle="warning">
      <formula1>=Desc_Carpentry_Works</formula1>
    </dataValidation>
    <dataValidation sqref="B120" showDropDown="0" showInputMessage="0" showErrorMessage="1" allowBlank="1" errorTitle="Custom item" error="Not in the Price Catalog for this section - you can still type a custom item." type="list" errorStyle="warning">
      <formula1>=Desc_Carpentry_Works</formula1>
    </dataValidation>
    <dataValidation sqref="B124" showDropDown="0" showInputMessage="0" showErrorMessage="1" allowBlank="1" errorTitle="Custom item" error="Not in the Price Catalog for this section - you can still type a custom item." type="list" errorStyle="warning">
      <formula1>=Desc_Work_And_Service_Top</formula1>
    </dataValidation>
    <dataValidation sqref="B125" showDropDown="0" showInputMessage="0" showErrorMessage="1" allowBlank="1" errorTitle="Custom item" error="Not in the Price Catalog for this section - you can still type a custom item." type="list" errorStyle="warning">
      <formula1>=Desc_Work_And_Service_Top</formula1>
    </dataValidation>
    <dataValidation sqref="B126" showDropDown="0" showInputMessage="0" showErrorMessage="1" allowBlank="1" errorTitle="Custom item" error="Not in the Price Catalog for this section - you can still type a custom item." type="list" errorStyle="warning">
      <formula1>=Desc_Work_And_Service_Top</formula1>
    </dataValidation>
    <dataValidation sqref="B127" showDropDown="0" showInputMessage="0" showErrorMessage="1" allowBlank="1" errorTitle="Custom item" error="Not in the Price Catalog for this section - you can still type a custom item." type="list" errorStyle="warning">
      <formula1>=Desc_Work_And_Service_Top</formula1>
    </dataValidation>
    <dataValidation sqref="B128" showDropDown="0" showInputMessage="0" showErrorMessage="1" allowBlank="1" errorTitle="Custom item" error="Not in the Price Catalog for this section - you can still type a custom item." type="list" errorStyle="warning">
      <formula1>=Desc_Work_And_Service_Top</formula1>
    </dataValidation>
    <dataValidation sqref="B129" showDropDown="0" showInputMessage="0" showErrorMessage="1" allowBlank="1" errorTitle="Custom item" error="Not in the Price Catalog for this section - you can still type a custom item." type="list" errorStyle="warning">
      <formula1>=Desc_Work_And_Service_Top</formula1>
    </dataValidation>
    <dataValidation sqref="B133" showDropDown="0" showInputMessage="0" showErrorMessage="1" allowBlank="1" errorTitle="Custom item" error="Not in the Price Catalog for this section - you can still type a custom item." type="list" errorStyle="warning">
      <formula1>=Desc_Electrical_Works</formula1>
    </dataValidation>
    <dataValidation sqref="B134" showDropDown="0" showInputMessage="0" showErrorMessage="1" allowBlank="1" errorTitle="Custom item" error="Not in the Price Catalog for this section - you can still type a custom item." type="list" errorStyle="warning">
      <formula1>=Desc_Electrical_Works</formula1>
    </dataValidation>
    <dataValidation sqref="B135" showDropDown="0" showInputMessage="0" showErrorMessage="1" allowBlank="1" errorTitle="Custom item" error="Not in the Price Catalog for this section - you can still type a custom item." type="list" errorStyle="warning">
      <formula1>=Desc_Electrical_Works</formula1>
    </dataValidation>
    <dataValidation sqref="B136" showDropDown="0" showInputMessage="0" showErrorMessage="1" allowBlank="1" errorTitle="Custom item" error="Not in the Price Catalog for this section - you can still type a custom item." type="list" errorStyle="warning">
      <formula1>=Desc_Electrical_Works</formula1>
    </dataValidation>
    <dataValidation sqref="B137" showDropDown="0" showInputMessage="0" showErrorMessage="1" allowBlank="1" errorTitle="Custom item" error="Not in the Price Catalog for this section - you can still type a custom item." type="list" errorStyle="warning">
      <formula1>=Desc_Electrical_Works</formula1>
    </dataValidation>
    <dataValidation sqref="B138" showDropDown="0" showInputMessage="0" showErrorMessage="1" allowBlank="1" errorTitle="Custom item" error="Not in the Price Catalog for this section - you can still type a custom item." type="list" errorStyle="warning">
      <formula1>=Desc_Electrical_Works</formula1>
    </dataValidation>
    <dataValidation sqref="B142" showDropDown="0" showInputMessage="0" showErrorMessage="1" allowBlank="1" errorTitle="Custom item" error="Not in the Price Catalog for this section - you can still type a custom item." type="list" errorStyle="warning">
      <formula1>=Desc_Flooring_Works</formula1>
    </dataValidation>
    <dataValidation sqref="B143" showDropDown="0" showInputMessage="0" showErrorMessage="1" allowBlank="1" errorTitle="Custom item" error="Not in the Price Catalog for this section - you can still type a custom item." type="list" errorStyle="warning">
      <formula1>=Desc_Flooring_Works</formula1>
    </dataValidation>
    <dataValidation sqref="B144" showDropDown="0" showInputMessage="0" showErrorMessage="1" allowBlank="1" errorTitle="Custom item" error="Not in the Price Catalog for this section - you can still type a custom item." type="list" errorStyle="warning">
      <formula1>=Desc_Flooring_Works</formula1>
    </dataValidation>
    <dataValidation sqref="B145" showDropDown="0" showInputMessage="0" showErrorMessage="1" allowBlank="1" errorTitle="Custom item" error="Not in the Price Catalog for this section - you can still type a custom item." type="list" errorStyle="warning">
      <formula1>=Desc_Flooring_Works</formula1>
    </dataValidation>
    <dataValidation sqref="B146" showDropDown="0" showInputMessage="0" showErrorMessage="1" allowBlank="1" errorTitle="Custom item" error="Not in the Price Catalog for this section - you can still type a custom item." type="list" errorStyle="warning">
      <formula1>=Desc_Flooring_Works</formula1>
    </dataValidation>
    <dataValidation sqref="B147" showDropDown="0" showInputMessage="0" showErrorMessage="1" allowBlank="1" errorTitle="Custom item" error="Not in the Price Catalog for this section - you can still type a custom item." type="list" errorStyle="warning">
      <formula1>=Desc_Flooring_Works</formula1>
    </dataValidation>
    <dataValidation sqref="B151" showDropDown="0" showInputMessage="0" showErrorMessage="1" allowBlank="1" errorTitle="Custom item" error="Not in the Price Catalog for this section - you can still type a custom item." type="list" errorStyle="warning">
      <formula1>=Desc_Aircon_Works</formula1>
    </dataValidation>
    <dataValidation sqref="B152" showDropDown="0" showInputMessage="0" showErrorMessage="1" allowBlank="1" errorTitle="Custom item" error="Not in the Price Catalog for this section - you can still type a custom item." type="list" errorStyle="warning">
      <formula1>=Desc_Aircon_Works</formula1>
    </dataValidation>
    <dataValidation sqref="B153" showDropDown="0" showInputMessage="0" showErrorMessage="1" allowBlank="1" errorTitle="Custom item" error="Not in the Price Catalog for this section - you can still type a custom item." type="list" errorStyle="warning">
      <formula1>=Desc_Aircon_Works</formula1>
    </dataValidation>
    <dataValidation sqref="B154" showDropDown="0" showInputMessage="0" showErrorMessage="1" allowBlank="1" errorTitle="Custom item" error="Not in the Price Catalog for this section - you can still type a custom item." type="list" errorStyle="warning">
      <formula1>=Desc_Aircon_Works</formula1>
    </dataValidation>
    <dataValidation sqref="B155" showDropDown="0" showInputMessage="0" showErrorMessage="1" allowBlank="1" errorTitle="Custom item" error="Not in the Price Catalog for this section - you can still type a custom item." type="list" errorStyle="warning">
      <formula1>=Desc_Aircon_Works</formula1>
    </dataValidation>
    <dataValidation sqref="B156" showDropDown="0" showInputMessage="0" showErrorMessage="1" allowBlank="1" errorTitle="Custom item" error="Not in the Price Catalog for this section - you can still type a custom item." type="list" errorStyle="warning">
      <formula1>=Desc_Aircon_Works</formula1>
    </dataValidation>
    <dataValidation sqref="B160" showDropDown="0" showInputMessage="0" showErrorMessage="1" allowBlank="1" errorTitle="Custom item" error="Not in the Price Catalog for this section - you can still type a custom item." type="list" errorStyle="warning">
      <formula1>=Desc_Miscellaneous_Works</formula1>
    </dataValidation>
    <dataValidation sqref="B161" showDropDown="0" showInputMessage="0" showErrorMessage="1" allowBlank="1" errorTitle="Custom item" error="Not in the Price Catalog for this section - you can still type a custom item." type="list" errorStyle="warning">
      <formula1>=Desc_Miscellaneous_Works</formula1>
    </dataValidation>
    <dataValidation sqref="B162" showDropDown="0" showInputMessage="0" showErrorMessage="1" allowBlank="1" errorTitle="Custom item" error="Not in the Price Catalog for this section - you can still type a custom item." type="list" errorStyle="warning">
      <formula1>=Desc_Miscellaneous_Works</formula1>
    </dataValidation>
    <dataValidation sqref="B163" showDropDown="0" showInputMessage="0" showErrorMessage="1" allowBlank="1" errorTitle="Custom item" error="Not in the Price Catalog for this section - you can still type a custom item." type="list" errorStyle="warning">
      <formula1>=Desc_Miscellaneous_Works</formula1>
    </dataValidation>
    <dataValidation sqref="B164" showDropDown="0" showInputMessage="0" showErrorMessage="1" allowBlank="1" errorTitle="Custom item" error="Not in the Price Catalog for this section - you can still type a custom item." type="list" errorStyle="warning">
      <formula1>=Desc_Miscellaneous_Works</formula1>
    </dataValidation>
    <dataValidation sqref="B165" showDropDown="0" showInputMessage="0" showErrorMessage="1" allowBlank="1" errorTitle="Custom item" error="Not in the Price Catalog for this section - you can still type a custom item." type="list" errorStyle="warning">
      <formula1>=Desc_Miscellaneous_Works</formula1>
    </dataValidation>
  </dataValidations>
  <pageMargins left="0.4" right="0.4" top="0.5" bottom="0.5" header="0.5" footer="0.5"/>
  <pageSetup orientation="portrait"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2026-09-17T04:59:18Z</dcterms:created>
  <dcterms:modified xsi:type="dcterms:W3CDTF">2026-09-17T04:59:18Z</dcterms:modified>
</cp:coreProperties>
</file>